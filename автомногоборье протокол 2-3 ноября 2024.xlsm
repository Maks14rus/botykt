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hestakov.m.CHUGUEV-PC\Desktop\вс\"/>
    </mc:Choice>
  </mc:AlternateContent>
  <bookViews>
    <workbookView xWindow="-120" yWindow="-120" windowWidth="21840" windowHeight="13140" activeTab="1"/>
  </bookViews>
  <sheets>
    <sheet name="Кубок" sheetId="1" r:id="rId1"/>
    <sheet name="Первенство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2" i="2" l="1"/>
  <c r="N19" i="2"/>
  <c r="N18" i="2"/>
  <c r="D18" i="2"/>
  <c r="H14" i="2"/>
  <c r="D19" i="2"/>
  <c r="D17" i="2"/>
  <c r="H16" i="2"/>
  <c r="H12" i="2"/>
  <c r="N12" i="2"/>
  <c r="R15" i="2"/>
  <c r="R18" i="2"/>
  <c r="D16" i="2"/>
  <c r="N15" i="2"/>
  <c r="H17" i="2"/>
  <c r="D12" i="2"/>
  <c r="R16" i="2"/>
  <c r="H13" i="2"/>
  <c r="N16" i="2"/>
  <c r="D13" i="2"/>
  <c r="R13" i="2"/>
  <c r="N17" i="2"/>
  <c r="D14" i="2"/>
  <c r="N14" i="2"/>
  <c r="H15" i="2"/>
  <c r="N13" i="2"/>
  <c r="H18" i="2"/>
  <c r="R14" i="2"/>
  <c r="H19" i="2"/>
  <c r="R17" i="2"/>
  <c r="D15" i="2"/>
  <c r="R19" i="2"/>
  <c r="D25" i="1"/>
  <c r="N14" i="1"/>
  <c r="D15" i="1"/>
  <c r="R12" i="1"/>
  <c r="H28" i="1"/>
  <c r="N26" i="1"/>
  <c r="R21" i="1"/>
  <c r="D23" i="1"/>
  <c r="H25" i="1"/>
  <c r="N24" i="1"/>
  <c r="N20" i="1"/>
  <c r="R13" i="1"/>
  <c r="N28" i="1"/>
  <c r="D28" i="1"/>
  <c r="D31" i="1"/>
  <c r="D18" i="1"/>
  <c r="N27" i="1"/>
  <c r="R17" i="1"/>
  <c r="D29" i="1"/>
  <c r="N29" i="1"/>
  <c r="D26" i="1"/>
  <c r="H22" i="1"/>
  <c r="D17" i="1"/>
  <c r="D13" i="1"/>
  <c r="D22" i="1"/>
  <c r="R30" i="1"/>
  <c r="D20" i="1"/>
  <c r="H12" i="1"/>
  <c r="R28" i="1"/>
  <c r="D14" i="1"/>
  <c r="D16" i="1"/>
  <c r="R16" i="1"/>
  <c r="N16" i="1"/>
  <c r="N13" i="1"/>
  <c r="N30" i="1"/>
  <c r="H29" i="1"/>
  <c r="H13" i="1"/>
  <c r="N19" i="1"/>
  <c r="R25" i="1"/>
  <c r="H23" i="1"/>
  <c r="D12" i="1"/>
  <c r="H31" i="1"/>
  <c r="R15" i="1"/>
  <c r="R19" i="1"/>
  <c r="H14" i="1"/>
  <c r="N17" i="1"/>
  <c r="D19" i="1"/>
  <c r="R14" i="1"/>
  <c r="R22" i="1"/>
  <c r="N22" i="1"/>
  <c r="J19" i="2" l="1"/>
  <c r="P18" i="2"/>
  <c r="T19" i="2"/>
  <c r="J12" i="2"/>
  <c r="J16" i="2"/>
  <c r="F15" i="2"/>
  <c r="T15" i="2"/>
  <c r="J18" i="2"/>
  <c r="P12" i="2"/>
  <c r="F17" i="2"/>
  <c r="T17" i="2"/>
  <c r="J13" i="2"/>
  <c r="F14" i="2"/>
  <c r="T14" i="2"/>
  <c r="F19" i="2"/>
  <c r="P13" i="2"/>
  <c r="J14" i="2"/>
  <c r="P14" i="2"/>
  <c r="P16" i="2"/>
  <c r="F16" i="2"/>
  <c r="T16" i="2"/>
  <c r="J15" i="2"/>
  <c r="P15" i="2"/>
  <c r="F18" i="2"/>
  <c r="T18" i="2"/>
  <c r="P19" i="2"/>
  <c r="F12" i="2"/>
  <c r="T12" i="2"/>
  <c r="J17" i="2"/>
  <c r="P17" i="2"/>
  <c r="F13" i="2"/>
  <c r="T13" i="2"/>
  <c r="F25" i="1"/>
  <c r="K25" i="1" s="1"/>
  <c r="T14" i="1"/>
  <c r="T30" i="1"/>
  <c r="J22" i="1"/>
  <c r="F17" i="1"/>
  <c r="F22" i="1"/>
  <c r="F16" i="1"/>
  <c r="T13" i="1"/>
  <c r="T16" i="1"/>
  <c r="J13" i="1"/>
  <c r="F12" i="1"/>
  <c r="K12" i="1" s="1"/>
  <c r="F15" i="1"/>
  <c r="P22" i="1"/>
  <c r="T25" i="1"/>
  <c r="J28" i="1"/>
  <c r="P17" i="1"/>
  <c r="T12" i="1"/>
  <c r="P28" i="1"/>
  <c r="P29" i="1"/>
  <c r="F31" i="1"/>
  <c r="F29" i="1"/>
  <c r="F26" i="1"/>
  <c r="J14" i="1"/>
  <c r="P19" i="1"/>
  <c r="P30" i="1"/>
  <c r="P14" i="1"/>
  <c r="P24" i="1"/>
  <c r="P20" i="1"/>
  <c r="J12" i="1"/>
  <c r="J31" i="1"/>
  <c r="T22" i="1"/>
  <c r="T28" i="1"/>
  <c r="F28" i="1"/>
  <c r="P13" i="1"/>
  <c r="P27" i="1"/>
  <c r="F13" i="1"/>
  <c r="K13" i="1" s="1"/>
  <c r="F18" i="1"/>
  <c r="P26" i="1"/>
  <c r="F19" i="1"/>
  <c r="F14" i="1"/>
  <c r="K14" i="1" s="1"/>
  <c r="T21" i="1"/>
  <c r="J29" i="1"/>
  <c r="T17" i="1"/>
  <c r="J23" i="1"/>
  <c r="F20" i="1"/>
  <c r="J25" i="1"/>
  <c r="F23" i="1"/>
  <c r="K23" i="1" s="1"/>
  <c r="T15" i="1"/>
  <c r="P16" i="1"/>
  <c r="T19" i="1"/>
  <c r="R29" i="1"/>
  <c r="R26" i="1"/>
  <c r="H16" i="1"/>
  <c r="N31" i="1"/>
  <c r="H30" i="1"/>
  <c r="D27" i="1"/>
  <c r="H24" i="1"/>
  <c r="N15" i="1"/>
  <c r="H32" i="1"/>
  <c r="R23" i="1"/>
  <c r="R24" i="1"/>
  <c r="R31" i="1"/>
  <c r="H17" i="1"/>
  <c r="D32" i="1"/>
  <c r="R20" i="1"/>
  <c r="H20" i="1"/>
  <c r="N18" i="1"/>
  <c r="H26" i="1"/>
  <c r="R27" i="1"/>
  <c r="N25" i="1"/>
  <c r="D30" i="1"/>
  <c r="N12" i="1"/>
  <c r="N32" i="1"/>
  <c r="D21" i="1"/>
  <c r="R32" i="1"/>
  <c r="H27" i="1"/>
  <c r="H19" i="1"/>
  <c r="D24" i="1"/>
  <c r="N21" i="1"/>
  <c r="R18" i="1"/>
  <c r="H18" i="1"/>
  <c r="N23" i="1"/>
  <c r="H15" i="1"/>
  <c r="H21" i="1"/>
  <c r="K29" i="1" l="1"/>
  <c r="K15" i="1"/>
  <c r="K28" i="1"/>
  <c r="K31" i="1"/>
  <c r="K12" i="2"/>
  <c r="U19" i="2"/>
  <c r="J21" i="1"/>
  <c r="J15" i="1"/>
  <c r="P23" i="1"/>
  <c r="J18" i="1"/>
  <c r="K18" i="1" s="1"/>
  <c r="T18" i="1"/>
  <c r="P21" i="1"/>
  <c r="F24" i="1"/>
  <c r="K24" i="1" s="1"/>
  <c r="J19" i="1"/>
  <c r="K19" i="1" s="1"/>
  <c r="J27" i="1"/>
  <c r="T32" i="1"/>
  <c r="F21" i="1"/>
  <c r="K21" i="1" s="1"/>
  <c r="P32" i="1"/>
  <c r="P12" i="1"/>
  <c r="F30" i="1"/>
  <c r="P25" i="1"/>
  <c r="U25" i="1" s="1"/>
  <c r="T27" i="1"/>
  <c r="J26" i="1"/>
  <c r="K26" i="1" s="1"/>
  <c r="P18" i="1"/>
  <c r="U18" i="1" s="1"/>
  <c r="J20" i="1"/>
  <c r="K20" i="1" s="1"/>
  <c r="T20" i="1"/>
  <c r="U20" i="1" s="1"/>
  <c r="F32" i="1"/>
  <c r="K32" i="1" s="1"/>
  <c r="J17" i="1"/>
  <c r="K17" i="1" s="1"/>
  <c r="T31" i="1"/>
  <c r="T24" i="1"/>
  <c r="U24" i="1" s="1"/>
  <c r="T23" i="1"/>
  <c r="J32" i="1"/>
  <c r="P15" i="1"/>
  <c r="U15" i="1" s="1"/>
  <c r="J24" i="1"/>
  <c r="F27" i="1"/>
  <c r="J30" i="1"/>
  <c r="P31" i="1"/>
  <c r="J16" i="1"/>
  <c r="K16" i="1" s="1"/>
  <c r="T26" i="1"/>
  <c r="U26" i="1" s="1"/>
  <c r="T29" i="1"/>
  <c r="U29" i="1" s="1"/>
  <c r="U14" i="1"/>
  <c r="U30" i="1"/>
  <c r="U16" i="1"/>
  <c r="K13" i="2"/>
  <c r="K18" i="2"/>
  <c r="K16" i="2"/>
  <c r="K14" i="2"/>
  <c r="K17" i="2"/>
  <c r="K15" i="2"/>
  <c r="U15" i="2"/>
  <c r="U16" i="2"/>
  <c r="U13" i="2"/>
  <c r="U12" i="2"/>
  <c r="U17" i="2"/>
  <c r="U14" i="2"/>
  <c r="K19" i="2"/>
  <c r="U18" i="2"/>
  <c r="U13" i="1"/>
  <c r="U22" i="1"/>
  <c r="K22" i="1"/>
  <c r="U21" i="1"/>
  <c r="W22" i="1"/>
  <c r="U12" i="1"/>
  <c r="U27" i="1"/>
  <c r="U28" i="1"/>
  <c r="U17" i="1"/>
  <c r="U19" i="1"/>
  <c r="U23" i="1"/>
  <c r="U31" i="1" l="1"/>
  <c r="K27" i="1"/>
  <c r="K30" i="1"/>
  <c r="W30" i="1" s="1"/>
  <c r="L27" i="1"/>
  <c r="U32" i="1"/>
  <c r="W32" i="1" s="1"/>
  <c r="V14" i="2"/>
  <c r="W26" i="1"/>
  <c r="W14" i="1"/>
  <c r="W20" i="1"/>
  <c r="W28" i="1"/>
  <c r="W27" i="1"/>
  <c r="W24" i="1"/>
  <c r="L21" i="1"/>
  <c r="L16" i="2"/>
  <c r="W16" i="2"/>
  <c r="W13" i="1"/>
  <c r="V12" i="2"/>
  <c r="V15" i="2"/>
  <c r="W12" i="2"/>
  <c r="V17" i="2"/>
  <c r="V18" i="2"/>
  <c r="V13" i="2"/>
  <c r="L17" i="2"/>
  <c r="W17" i="2"/>
  <c r="W18" i="2"/>
  <c r="W13" i="2"/>
  <c r="V19" i="2"/>
  <c r="L15" i="2"/>
  <c r="W15" i="2"/>
  <c r="L12" i="2"/>
  <c r="L19" i="2"/>
  <c r="W19" i="2"/>
  <c r="V16" i="2"/>
  <c r="L14" i="2"/>
  <c r="W14" i="2"/>
  <c r="L18" i="2"/>
  <c r="L13" i="2"/>
  <c r="W25" i="1"/>
  <c r="W31" i="1"/>
  <c r="W12" i="1"/>
  <c r="W16" i="1"/>
  <c r="W29" i="1"/>
  <c r="W23" i="1"/>
  <c r="W19" i="1"/>
  <c r="W15" i="1"/>
  <c r="W18" i="1"/>
  <c r="W21" i="1"/>
  <c r="W17" i="1"/>
  <c r="L18" i="1"/>
  <c r="L17" i="1"/>
  <c r="L22" i="1"/>
  <c r="L32" i="1"/>
  <c r="L14" i="1"/>
  <c r="L20" i="1"/>
  <c r="L19" i="1"/>
  <c r="L15" i="1"/>
  <c r="L12" i="1"/>
  <c r="L31" i="1"/>
  <c r="L30" i="1"/>
  <c r="L28" i="1"/>
  <c r="L29" i="1"/>
  <c r="L16" i="1"/>
  <c r="L25" i="1"/>
  <c r="L26" i="1"/>
  <c r="L23" i="1"/>
  <c r="L24" i="1"/>
  <c r="L13" i="1"/>
  <c r="V25" i="1"/>
  <c r="V13" i="1"/>
  <c r="V15" i="1"/>
  <c r="V12" i="1"/>
  <c r="V31" i="1"/>
  <c r="V22" i="1"/>
  <c r="V21" i="1"/>
  <c r="V29" i="1"/>
  <c r="V19" i="1"/>
  <c r="V23" i="1"/>
  <c r="V28" i="1"/>
  <c r="V26" i="1" l="1"/>
  <c r="V17" i="1"/>
  <c r="V18" i="1"/>
  <c r="V27" i="1"/>
  <c r="V16" i="1"/>
  <c r="V32" i="1"/>
  <c r="V20" i="1"/>
  <c r="V14" i="1"/>
  <c r="V30" i="1"/>
  <c r="V24" i="1"/>
  <c r="X30" i="1"/>
  <c r="X28" i="1"/>
  <c r="X19" i="1"/>
  <c r="X22" i="1"/>
  <c r="X14" i="2"/>
  <c r="X29" i="1"/>
  <c r="X15" i="1"/>
  <c r="X18" i="1"/>
  <c r="X14" i="1"/>
  <c r="X12" i="1"/>
  <c r="X13" i="2"/>
  <c r="X17" i="2"/>
  <c r="X19" i="2"/>
  <c r="X12" i="2"/>
  <c r="X15" i="2"/>
  <c r="X18" i="2"/>
  <c r="X16" i="2"/>
  <c r="X27" i="1"/>
  <c r="X31" i="1"/>
  <c r="X16" i="1"/>
  <c r="X24" i="1"/>
  <c r="X26" i="1"/>
  <c r="X17" i="1"/>
  <c r="X25" i="1"/>
  <c r="X23" i="1"/>
  <c r="X20" i="1"/>
  <c r="X13" i="1"/>
  <c r="X21" i="1"/>
  <c r="X32" i="1"/>
</calcChain>
</file>

<file path=xl/sharedStrings.xml><?xml version="1.0" encoding="utf-8"?>
<sst xmlns="http://schemas.openxmlformats.org/spreadsheetml/2006/main" count="93" uniqueCount="46">
  <si>
    <t>Место</t>
  </si>
  <si>
    <t>Результат "Классика"</t>
  </si>
  <si>
    <t xml:space="preserve">1 попытка </t>
  </si>
  <si>
    <t>2 попытка</t>
  </si>
  <si>
    <t>Время прохождения (сек.)</t>
  </si>
  <si>
    <t>Результат "Нестандарт"</t>
  </si>
  <si>
    <t>Итоговое место</t>
  </si>
  <si>
    <t>ОБЩЕРОССИЙСКАЯ ОБЩЕСТВЕННАЯ ОРГАНИЗАЦИЯ  «РОССИЙСКАЯ АВТОМОБИЛЬНАЯ ФЕДЕРАЦИЯ»
ГБУ РС(Я) «УПРАВЛЕНИЯ ФИЗИЧЕСКОЙ КУЛЬТУРЫ И МАССОВОГО СПОРТА РС(Я)»
ОБЩЕСТВЕННАЯ ОРГАНИЗАЦИЯ «ФЕДЕРАЦИЯ АВТОМОБИЛЬНОГО СПОРТА И МОТОЦИКЛЕТНОГО СПОРТА РЕСПУБЛИКИ САХА (ЯКУТИЯ)»
КОМИТЕТ АВТОМНОГОБОРЬЯ И АВТОКРОССА</t>
  </si>
  <si>
    <t>ФИО Пилота</t>
  </si>
  <si>
    <t>Стартовый номер</t>
  </si>
  <si>
    <t>Пенализация (очки)</t>
  </si>
  <si>
    <t>Результат (очки)</t>
  </si>
  <si>
    <t xml:space="preserve"> Результат (очки) </t>
  </si>
  <si>
    <r>
      <t xml:space="preserve">Официальное соревнование код ВРВС 1660051811Я
Город Якутск
Кубок федерации автомобильного и мотоциклетного спорта РС(Я) по автомногоборью
</t>
    </r>
    <r>
      <rPr>
        <b/>
        <sz val="14"/>
        <color theme="1"/>
        <rFont val="Times New Roman"/>
        <family val="1"/>
      </rPr>
      <t>ОБЩИЙ ПРОТОКОЛ РЕЗУЛЬТАТОВ ЗАЧЁТ «ЛИЧНЫЙ»</t>
    </r>
  </si>
  <si>
    <t>Сумма всех очков</t>
  </si>
  <si>
    <t>Очки</t>
  </si>
  <si>
    <t>Петров Михаил Григорьевич</t>
  </si>
  <si>
    <t>Готовцева Камилла Евгеньевна</t>
  </si>
  <si>
    <t>Мыреев Василий Михайлович</t>
  </si>
  <si>
    <t xml:space="preserve">Гаврильев Михаил Михайлович </t>
  </si>
  <si>
    <t>Григорьев Семен Михайлович</t>
  </si>
  <si>
    <t>Маркова Дора Лазаревна</t>
  </si>
  <si>
    <t>Павлова Алена Васильевна</t>
  </si>
  <si>
    <t>Афанасьева Анна Андреевна</t>
  </si>
  <si>
    <t>Распутин Андрей Андреевич</t>
  </si>
  <si>
    <t>Софронеев Андрей Афанасьевич</t>
  </si>
  <si>
    <t>Бочкарев Алексей Викторович</t>
  </si>
  <si>
    <t>Потолицын Андрей Николаевич</t>
  </si>
  <si>
    <t>Архипов Алексей Николаевич</t>
  </si>
  <si>
    <t>Елисеев Виктор Борисович</t>
  </si>
  <si>
    <t>Попов Мирослав Ильич</t>
  </si>
  <si>
    <t>Сивцев Артем Александрович</t>
  </si>
  <si>
    <t>Кириллин Самсон Самсонович</t>
  </si>
  <si>
    <t>Чабыкин Эрлик Владиславович</t>
  </si>
  <si>
    <t>Пакеев Сергей Степанович</t>
  </si>
  <si>
    <t>Лебль Илья Константинович</t>
  </si>
  <si>
    <t>Кириллин Сергей Эдуардович</t>
  </si>
  <si>
    <t>Павлов Эрхаан Дмитриевич</t>
  </si>
  <si>
    <t>Хвастунова Анастасия Вячеславовна</t>
  </si>
  <si>
    <t>Тельнов Алексей Сергеевич</t>
  </si>
  <si>
    <t>Узун Анастасия Георгиевна</t>
  </si>
  <si>
    <t>Прокопьев Владимир Денисович</t>
  </si>
  <si>
    <t>Пантелеев Ярослав Павлович</t>
  </si>
  <si>
    <t>Печенина Елена Александровна</t>
  </si>
  <si>
    <t>Потапов Данил Никитич</t>
  </si>
  <si>
    <r>
      <t xml:space="preserve">Официальное соревнование код ВРВС 1660051811Я
Город Якутск
Первенство ГО Якутск по автомногоборью
</t>
    </r>
    <r>
      <rPr>
        <b/>
        <sz val="14"/>
        <color theme="1"/>
        <rFont val="Times New Roman"/>
        <family val="1"/>
      </rPr>
      <t>ОБЩИЙ ПРОТОКОЛ РЕЗУЛЬТАТОВ ЗАЧЁТ «ЛИЧНЫЙ»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</si>
</sst>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onstantia"/>
      <family val="1"/>
      <charset val="204"/>
    </font>
    <font>
      <sz val="11"/>
      <name val="Calibri"/>
      <family val="2"/>
      <charset val="204"/>
    </font>
    <font>
      <sz val="11"/>
      <color theme="1"/>
      <name val="Times New Roman"/>
      <family val="1"/>
      <charset val="204"/>
    </font>
    <font>
      <sz val="11"/>
      <color theme="1"/>
      <name val="Bahnschrift SemiBold"/>
      <family val="2"/>
      <charset val="204"/>
    </font>
    <font>
      <sz val="11"/>
      <color theme="1"/>
      <name val="Calibri"/>
      <family val="2"/>
      <charset val="204"/>
    </font>
    <font>
      <b/>
      <sz val="11"/>
      <color theme="1"/>
      <name val="Bahnschrift SemiBold"/>
      <family val="2"/>
      <charset val="204"/>
    </font>
    <font>
      <sz val="12"/>
      <color theme="1"/>
      <name val="Bahnschrift SemiBold"/>
      <family val="2"/>
      <charset val="204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2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47" fontId="5" fillId="0" borderId="6" xfId="0" quotePrefix="1" applyNumberFormat="1" applyFont="1" applyBorder="1" applyAlignment="1">
      <alignment horizontal="center" vertical="center"/>
    </xf>
    <xf numFmtId="164" fontId="5" fillId="0" borderId="6" xfId="0" applyNumberFormat="1" applyFont="1" applyBorder="1" applyAlignment="1">
      <alignment horizontal="center" vertical="center"/>
    </xf>
    <xf numFmtId="47" fontId="5" fillId="0" borderId="4" xfId="0" applyNumberFormat="1" applyFont="1" applyBorder="1" applyAlignment="1">
      <alignment horizontal="center" vertical="center"/>
    </xf>
    <xf numFmtId="47" fontId="5" fillId="0" borderId="6" xfId="0" applyNumberFormat="1" applyFont="1" applyBorder="1" applyAlignment="1">
      <alignment horizontal="center" vertical="center"/>
    </xf>
    <xf numFmtId="164" fontId="5" fillId="0" borderId="8" xfId="0" applyNumberFormat="1" applyFont="1" applyBorder="1" applyAlignment="1">
      <alignment horizontal="center" vertical="center"/>
    </xf>
    <xf numFmtId="0" fontId="0" fillId="0" borderId="0" xfId="0" applyFont="1" applyAlignment="1"/>
    <xf numFmtId="47" fontId="5" fillId="0" borderId="4" xfId="0" applyNumberFormat="1" applyFont="1" applyBorder="1" applyAlignment="1" applyProtection="1">
      <alignment horizontal="center" vertical="center" wrapText="1"/>
    </xf>
    <xf numFmtId="47" fontId="5" fillId="0" borderId="6" xfId="0" quotePrefix="1" applyNumberFormat="1" applyFont="1" applyBorder="1" applyAlignment="1">
      <alignment horizontal="center" vertical="center" wrapText="1"/>
    </xf>
    <xf numFmtId="47" fontId="5" fillId="0" borderId="3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>
      <alignment vertical="center" wrapText="1"/>
    </xf>
    <xf numFmtId="0" fontId="2" fillId="0" borderId="0" xfId="0" applyFont="1" applyBorder="1" applyAlignment="1"/>
    <xf numFmtId="164" fontId="5" fillId="0" borderId="4" xfId="0" applyNumberFormat="1" applyFont="1" applyBorder="1" applyAlignment="1">
      <alignment horizontal="center" vertical="center"/>
    </xf>
    <xf numFmtId="164" fontId="5" fillId="0" borderId="6" xfId="0" applyNumberFormat="1" applyFont="1" applyFill="1" applyBorder="1" applyAlignment="1">
      <alignment horizontal="center" vertical="center"/>
    </xf>
    <xf numFmtId="164" fontId="5" fillId="4" borderId="7" xfId="0" applyNumberFormat="1" applyFont="1" applyFill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47" fontId="5" fillId="0" borderId="8" xfId="0" applyNumberFormat="1" applyFont="1" applyBorder="1" applyAlignment="1">
      <alignment horizontal="center" vertical="center"/>
    </xf>
    <xf numFmtId="47" fontId="5" fillId="0" borderId="6" xfId="0" applyNumberFormat="1" applyFont="1" applyFill="1" applyBorder="1" applyAlignment="1">
      <alignment horizontal="center" vertical="center"/>
    </xf>
    <xf numFmtId="47" fontId="5" fillId="0" borderId="8" xfId="0" applyNumberFormat="1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164" fontId="5" fillId="4" borderId="9" xfId="0" applyNumberFormat="1" applyFont="1" applyFill="1" applyBorder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11" fillId="0" borderId="9" xfId="0" applyFont="1" applyBorder="1" applyAlignment="1">
      <alignment vertical="center" wrapText="1"/>
    </xf>
    <xf numFmtId="0" fontId="11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/>
    </xf>
    <xf numFmtId="164" fontId="5" fillId="5" borderId="6" xfId="0" applyNumberFormat="1" applyFont="1" applyFill="1" applyBorder="1" applyAlignment="1">
      <alignment horizontal="center" vertical="center"/>
    </xf>
    <xf numFmtId="47" fontId="5" fillId="5" borderId="6" xfId="0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vertical="center" wrapText="1"/>
    </xf>
    <xf numFmtId="47" fontId="5" fillId="0" borderId="4" xfId="0" applyNumberFormat="1" applyFont="1" applyFill="1" applyBorder="1" applyAlignment="1">
      <alignment horizontal="center" vertical="center"/>
    </xf>
    <xf numFmtId="164" fontId="5" fillId="0" borderId="4" xfId="0" applyNumberFormat="1" applyFont="1" applyFill="1" applyBorder="1" applyAlignment="1">
      <alignment horizontal="center" vertical="center"/>
    </xf>
    <xf numFmtId="1" fontId="5" fillId="0" borderId="7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 wrapText="1"/>
    </xf>
    <xf numFmtId="47" fontId="0" fillId="0" borderId="0" xfId="0" applyNumberFormat="1"/>
    <xf numFmtId="0" fontId="7" fillId="0" borderId="10" xfId="0" applyFont="1" applyFill="1" applyBorder="1" applyAlignment="1">
      <alignment horizontal="center" vertical="center" wrapText="1"/>
    </xf>
    <xf numFmtId="0" fontId="7" fillId="0" borderId="11" xfId="0" applyFont="1" applyFill="1" applyBorder="1" applyAlignment="1">
      <alignment horizontal="center" vertical="center" wrapText="1"/>
    </xf>
    <xf numFmtId="0" fontId="7" fillId="0" borderId="12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6" fillId="2" borderId="15" xfId="0" applyFont="1" applyFill="1" applyBorder="1" applyAlignment="1">
      <alignment horizontal="center" wrapText="1"/>
    </xf>
    <xf numFmtId="0" fontId="6" fillId="2" borderId="16" xfId="0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6" fillId="2" borderId="14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vertical="center" wrapText="1"/>
    </xf>
    <xf numFmtId="0" fontId="7" fillId="3" borderId="17" xfId="0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35"/>
  <sheetViews>
    <sheetView topLeftCell="A7" zoomScale="85" zoomScaleNormal="85" workbookViewId="0">
      <selection activeCell="L35" sqref="L35"/>
    </sheetView>
  </sheetViews>
  <sheetFormatPr defaultRowHeight="15" x14ac:dyDescent="0.25"/>
  <cols>
    <col min="1" max="1" width="11.28515625" customWidth="1"/>
    <col min="2" max="2" width="36.7109375" customWidth="1"/>
    <col min="3" max="3" width="13.42578125" customWidth="1"/>
    <col min="4" max="4" width="11.140625" customWidth="1"/>
    <col min="5" max="5" width="9.85546875" customWidth="1"/>
    <col min="6" max="6" width="12" customWidth="1"/>
    <col min="7" max="7" width="14" customWidth="1"/>
    <col min="8" max="8" width="12" customWidth="1"/>
    <col min="9" max="9" width="8.7109375" customWidth="1"/>
    <col min="10" max="10" width="12" customWidth="1"/>
    <col min="11" max="11" width="13.28515625" customWidth="1"/>
    <col min="12" max="12" width="12" customWidth="1"/>
    <col min="13" max="13" width="14.7109375" customWidth="1"/>
    <col min="14" max="14" width="12" customWidth="1"/>
    <col min="15" max="15" width="10.85546875" customWidth="1"/>
    <col min="16" max="16" width="11.42578125" customWidth="1"/>
    <col min="17" max="17" width="14.42578125" customWidth="1"/>
    <col min="18" max="18" width="11.42578125" customWidth="1"/>
    <col min="19" max="19" width="10" customWidth="1"/>
    <col min="20" max="20" width="10.85546875" customWidth="1"/>
    <col min="21" max="21" width="13.28515625" customWidth="1"/>
    <col min="22" max="22" width="11.140625" customWidth="1"/>
    <col min="23" max="23" width="10.28515625" customWidth="1"/>
    <col min="24" max="24" width="14.140625" customWidth="1"/>
    <col min="25" max="25" width="10.28515625" customWidth="1"/>
    <col min="26" max="26" width="8.7109375" customWidth="1"/>
    <col min="27" max="27" width="10.28515625" customWidth="1"/>
  </cols>
  <sheetData>
    <row r="1" spans="1:27" ht="15" customHeight="1" x14ac:dyDescent="0.25">
      <c r="A1" s="43" t="s">
        <v>7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6"/>
      <c r="Z1" s="6"/>
      <c r="AA1" s="6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6"/>
      <c r="Z2" s="6"/>
      <c r="AA2" s="6"/>
    </row>
    <row r="3" spans="1:27" ht="40.5" customHeight="1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11"/>
      <c r="Z3" s="11"/>
      <c r="AA3" s="11"/>
    </row>
    <row r="4" spans="1:27" ht="15" customHeight="1" x14ac:dyDescent="0.25">
      <c r="A4" s="41" t="s">
        <v>13</v>
      </c>
      <c r="B4" s="41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10"/>
      <c r="Z4" s="10"/>
      <c r="AA4" s="10"/>
    </row>
    <row r="5" spans="1:27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10"/>
      <c r="Z5" s="10"/>
      <c r="AA5" s="10"/>
    </row>
    <row r="6" spans="1:27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10"/>
      <c r="Z6" s="10"/>
      <c r="AA6" s="10"/>
    </row>
    <row r="7" spans="1:27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10"/>
      <c r="Z7" s="10"/>
      <c r="AA7" s="10"/>
    </row>
    <row r="8" spans="1:27" ht="27" customHeight="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10"/>
      <c r="Z8" s="10"/>
      <c r="AA8" s="10"/>
    </row>
    <row r="9" spans="1:27" ht="19.5" customHeight="1" x14ac:dyDescent="0.25">
      <c r="A9" s="47" t="s">
        <v>9</v>
      </c>
      <c r="B9" s="50" t="s">
        <v>8</v>
      </c>
      <c r="C9" s="51" t="s">
        <v>1</v>
      </c>
      <c r="D9" s="52"/>
      <c r="E9" s="52"/>
      <c r="F9" s="52"/>
      <c r="G9" s="52"/>
      <c r="H9" s="52"/>
      <c r="I9" s="52"/>
      <c r="J9" s="52"/>
      <c r="K9" s="52"/>
      <c r="L9" s="53"/>
      <c r="M9" s="51" t="s">
        <v>5</v>
      </c>
      <c r="N9" s="52"/>
      <c r="O9" s="52"/>
      <c r="P9" s="52"/>
      <c r="Q9" s="52"/>
      <c r="R9" s="52"/>
      <c r="S9" s="52"/>
      <c r="T9" s="52"/>
      <c r="U9" s="52"/>
      <c r="V9" s="53"/>
      <c r="W9" s="38" t="s">
        <v>14</v>
      </c>
      <c r="X9" s="38" t="s">
        <v>6</v>
      </c>
    </row>
    <row r="10" spans="1:27" x14ac:dyDescent="0.25">
      <c r="A10" s="48"/>
      <c r="B10" s="48"/>
      <c r="C10" s="49" t="s">
        <v>2</v>
      </c>
      <c r="D10" s="44"/>
      <c r="E10" s="44"/>
      <c r="F10" s="44"/>
      <c r="G10" s="45" t="s">
        <v>3</v>
      </c>
      <c r="H10" s="46"/>
      <c r="I10" s="46"/>
      <c r="J10" s="46"/>
      <c r="K10" s="39" t="s">
        <v>12</v>
      </c>
      <c r="L10" s="38" t="s">
        <v>0</v>
      </c>
      <c r="M10" s="44" t="s">
        <v>2</v>
      </c>
      <c r="N10" s="44"/>
      <c r="O10" s="44"/>
      <c r="P10" s="44"/>
      <c r="Q10" s="45" t="s">
        <v>3</v>
      </c>
      <c r="R10" s="46"/>
      <c r="S10" s="46"/>
      <c r="T10" s="46"/>
      <c r="U10" s="39" t="s">
        <v>12</v>
      </c>
      <c r="V10" s="39" t="s">
        <v>0</v>
      </c>
      <c r="W10" s="39"/>
      <c r="X10" s="39"/>
    </row>
    <row r="11" spans="1:27" ht="48.75" customHeight="1" x14ac:dyDescent="0.25">
      <c r="A11" s="48"/>
      <c r="B11" s="48"/>
      <c r="C11" s="7" t="s">
        <v>4</v>
      </c>
      <c r="D11" s="7" t="s">
        <v>15</v>
      </c>
      <c r="E11" s="8" t="s">
        <v>10</v>
      </c>
      <c r="F11" s="7" t="s">
        <v>11</v>
      </c>
      <c r="G11" s="7" t="s">
        <v>4</v>
      </c>
      <c r="H11" s="7" t="s">
        <v>15</v>
      </c>
      <c r="I11" s="8" t="s">
        <v>10</v>
      </c>
      <c r="J11" s="9" t="s">
        <v>11</v>
      </c>
      <c r="K11" s="40"/>
      <c r="L11" s="40"/>
      <c r="M11" s="7" t="s">
        <v>4</v>
      </c>
      <c r="N11" s="7" t="s">
        <v>15</v>
      </c>
      <c r="O11" s="8" t="s">
        <v>10</v>
      </c>
      <c r="P11" s="7" t="s">
        <v>11</v>
      </c>
      <c r="Q11" s="7" t="s">
        <v>4</v>
      </c>
      <c r="R11" s="7" t="s">
        <v>15</v>
      </c>
      <c r="S11" s="8" t="s">
        <v>10</v>
      </c>
      <c r="T11" s="9" t="s">
        <v>11</v>
      </c>
      <c r="U11" s="40"/>
      <c r="V11" s="40"/>
      <c r="W11" s="40"/>
      <c r="X11" s="40"/>
    </row>
    <row r="12" spans="1:27" ht="21.75" customHeight="1" x14ac:dyDescent="0.25">
      <c r="A12" s="26">
        <v>17</v>
      </c>
      <c r="B12" s="24" t="s">
        <v>27</v>
      </c>
      <c r="C12" s="3">
        <v>1.1377314814814813E-3</v>
      </c>
      <c r="D12" s="12">
        <f>TimeToSeconds(C12)</f>
        <v>98.3</v>
      </c>
      <c r="E12" s="2">
        <v>5</v>
      </c>
      <c r="F12" s="2">
        <f>D12+E12</f>
        <v>103.3</v>
      </c>
      <c r="G12" s="4">
        <v>1.0902777777777779E-3</v>
      </c>
      <c r="H12" s="2">
        <f>TimeToSeconds(G12)</f>
        <v>94.200000000000017</v>
      </c>
      <c r="I12" s="13">
        <v>5</v>
      </c>
      <c r="J12" s="2">
        <f>H12+I12</f>
        <v>99.200000000000017</v>
      </c>
      <c r="K12" s="14">
        <f>F12+J12</f>
        <v>202.5</v>
      </c>
      <c r="L12" s="15">
        <f>RANK(K12,K:K,1)</f>
        <v>1</v>
      </c>
      <c r="M12" s="4"/>
      <c r="N12" s="2">
        <f>TimeToSeconds(M12)</f>
        <v>0</v>
      </c>
      <c r="O12" s="2"/>
      <c r="P12" s="2">
        <f>N12+O12</f>
        <v>0</v>
      </c>
      <c r="Q12" s="17"/>
      <c r="R12" s="13">
        <f>TimeToSeconds(Q12)</f>
        <v>0</v>
      </c>
      <c r="S12" s="2"/>
      <c r="T12" s="19">
        <f>R12+S12</f>
        <v>0</v>
      </c>
      <c r="U12" s="20">
        <f>P12+T12</f>
        <v>0</v>
      </c>
      <c r="V12" s="21">
        <f>RANK(U12,U:U,1)</f>
        <v>1</v>
      </c>
      <c r="W12" s="22">
        <f>K12+U12</f>
        <v>202.5</v>
      </c>
      <c r="X12" s="23">
        <f>RANK(W12,W:W,1)</f>
        <v>1</v>
      </c>
    </row>
    <row r="13" spans="1:27" ht="21.75" customHeight="1" x14ac:dyDescent="0.25">
      <c r="A13" s="26">
        <v>14</v>
      </c>
      <c r="B13" s="24" t="s">
        <v>25</v>
      </c>
      <c r="C13" s="3">
        <v>1.1388888888888889E-3</v>
      </c>
      <c r="D13" s="12">
        <f>TimeToSeconds(C13)</f>
        <v>98.4</v>
      </c>
      <c r="E13" s="2">
        <v>5</v>
      </c>
      <c r="F13" s="2">
        <f>D13+E13</f>
        <v>103.4</v>
      </c>
      <c r="G13" s="4">
        <v>1.0613425925925927E-3</v>
      </c>
      <c r="H13" s="2">
        <f>TimeToSeconds(G13)</f>
        <v>91.7</v>
      </c>
      <c r="I13" s="13">
        <v>10</v>
      </c>
      <c r="J13" s="2">
        <f>H13+I13</f>
        <v>101.7</v>
      </c>
      <c r="K13" s="14">
        <f>F13+J13</f>
        <v>205.10000000000002</v>
      </c>
      <c r="L13" s="15">
        <f>RANK(K13,K:K,1)</f>
        <v>2</v>
      </c>
      <c r="M13" s="4"/>
      <c r="N13" s="2">
        <f>TimeToSeconds(M13)</f>
        <v>0</v>
      </c>
      <c r="O13" s="2"/>
      <c r="P13" s="2">
        <f>N13+O13</f>
        <v>0</v>
      </c>
      <c r="Q13" s="17"/>
      <c r="R13" s="13">
        <f>TimeToSeconds(Q13)</f>
        <v>0</v>
      </c>
      <c r="S13" s="2"/>
      <c r="T13" s="19">
        <f>R13+S13</f>
        <v>0</v>
      </c>
      <c r="U13" s="20">
        <f>P13+T13</f>
        <v>0</v>
      </c>
      <c r="V13" s="21">
        <f>RANK(U13,U:U,1)</f>
        <v>1</v>
      </c>
      <c r="W13" s="22">
        <f>K13+U13</f>
        <v>205.10000000000002</v>
      </c>
      <c r="X13" s="23">
        <f>RANK(W13,W:W,1)</f>
        <v>2</v>
      </c>
    </row>
    <row r="14" spans="1:27" ht="21.75" customHeight="1" x14ac:dyDescent="0.25">
      <c r="A14" s="26">
        <v>2</v>
      </c>
      <c r="B14" s="24" t="s">
        <v>17</v>
      </c>
      <c r="C14" s="3">
        <v>1.2256944444444444E-3</v>
      </c>
      <c r="D14" s="12">
        <f>TimeToSeconds(C14)</f>
        <v>105.9</v>
      </c>
      <c r="E14" s="2">
        <v>0</v>
      </c>
      <c r="F14" s="2">
        <f>D14+E14</f>
        <v>105.9</v>
      </c>
      <c r="G14" s="4">
        <v>1.2372685185185186E-3</v>
      </c>
      <c r="H14" s="2">
        <f>TimeToSeconds(G14)</f>
        <v>106.9</v>
      </c>
      <c r="I14" s="13">
        <v>0</v>
      </c>
      <c r="J14" s="2">
        <f>H14+I14</f>
        <v>106.9</v>
      </c>
      <c r="K14" s="14">
        <f>F14+J14</f>
        <v>212.8</v>
      </c>
      <c r="L14" s="15">
        <f>RANK(K14,K:K,1)</f>
        <v>3</v>
      </c>
      <c r="M14" s="4"/>
      <c r="N14" s="2">
        <f>TimeToSeconds(M14)</f>
        <v>0</v>
      </c>
      <c r="O14" s="2"/>
      <c r="P14" s="2">
        <f>N14+O14</f>
        <v>0</v>
      </c>
      <c r="Q14" s="17"/>
      <c r="R14" s="13">
        <f>TimeToSeconds(Q14)</f>
        <v>0</v>
      </c>
      <c r="S14" s="2"/>
      <c r="T14" s="19">
        <f>R14+S14</f>
        <v>0</v>
      </c>
      <c r="U14" s="20">
        <f>P14+T14</f>
        <v>0</v>
      </c>
      <c r="V14" s="21">
        <f>RANK(U14,U:U,1)</f>
        <v>1</v>
      </c>
      <c r="W14" s="22">
        <f>K14+U14</f>
        <v>212.8</v>
      </c>
      <c r="X14" s="23">
        <f>RANK(W14,W:W,1)</f>
        <v>3</v>
      </c>
    </row>
    <row r="15" spans="1:27" ht="21.75" customHeight="1" x14ac:dyDescent="0.25">
      <c r="A15" s="26">
        <v>35</v>
      </c>
      <c r="B15" s="24" t="s">
        <v>35</v>
      </c>
      <c r="C15" s="3">
        <v>1.0798611111111111E-3</v>
      </c>
      <c r="D15" s="12">
        <f>TimeToSeconds(C15)</f>
        <v>93.3</v>
      </c>
      <c r="E15" s="2">
        <v>20</v>
      </c>
      <c r="F15" s="2">
        <f>D15+E15</f>
        <v>113.3</v>
      </c>
      <c r="G15" s="4">
        <v>1.0474537037037037E-3</v>
      </c>
      <c r="H15" s="2">
        <f>TimeToSeconds(G15)</f>
        <v>90.5</v>
      </c>
      <c r="I15" s="13">
        <v>10</v>
      </c>
      <c r="J15" s="2">
        <f>H15+I15</f>
        <v>100.5</v>
      </c>
      <c r="K15" s="14">
        <f>F15+J15</f>
        <v>213.8</v>
      </c>
      <c r="L15" s="15">
        <f>RANK(K15,K:K,1)</f>
        <v>4</v>
      </c>
      <c r="M15" s="4"/>
      <c r="N15" s="2">
        <f>TimeToSeconds(M15)</f>
        <v>0</v>
      </c>
      <c r="O15" s="2"/>
      <c r="P15" s="2">
        <f>N15+O15</f>
        <v>0</v>
      </c>
      <c r="Q15" s="17"/>
      <c r="R15" s="13">
        <f>TimeToSeconds(Q15)</f>
        <v>0</v>
      </c>
      <c r="S15" s="2"/>
      <c r="T15" s="19">
        <f>R15+S15</f>
        <v>0</v>
      </c>
      <c r="U15" s="20">
        <f>P15+T15</f>
        <v>0</v>
      </c>
      <c r="V15" s="21">
        <f>RANK(U15,U:U,1)</f>
        <v>1</v>
      </c>
      <c r="W15" s="22">
        <f>K15+U15</f>
        <v>213.8</v>
      </c>
      <c r="X15" s="23">
        <f>RANK(W15,W:W,1)</f>
        <v>4</v>
      </c>
    </row>
    <row r="16" spans="1:27" ht="21.75" customHeight="1" x14ac:dyDescent="0.25">
      <c r="A16" s="26">
        <v>5</v>
      </c>
      <c r="B16" s="24" t="s">
        <v>19</v>
      </c>
      <c r="C16" s="3">
        <v>1.1469907407407407E-3</v>
      </c>
      <c r="D16" s="12">
        <f>TimeToSeconds(C16)</f>
        <v>99.1</v>
      </c>
      <c r="E16" s="2">
        <v>5</v>
      </c>
      <c r="F16" s="2">
        <f>D16+E16</f>
        <v>104.1</v>
      </c>
      <c r="G16" s="4">
        <v>1.0335648148148148E-3</v>
      </c>
      <c r="H16" s="2">
        <f>TimeToSeconds(G16)</f>
        <v>89.3</v>
      </c>
      <c r="I16" s="13">
        <v>30</v>
      </c>
      <c r="J16" s="2">
        <f>H16+I16</f>
        <v>119.3</v>
      </c>
      <c r="K16" s="14">
        <f>F16+J16</f>
        <v>223.39999999999998</v>
      </c>
      <c r="L16" s="15">
        <f>RANK(K16,K:K,1)</f>
        <v>5</v>
      </c>
      <c r="M16" s="1"/>
      <c r="N16" s="2">
        <f>TimeToSeconds(M16)</f>
        <v>0</v>
      </c>
      <c r="O16" s="2"/>
      <c r="P16" s="2">
        <f>N16+O16</f>
        <v>0</v>
      </c>
      <c r="Q16" s="17"/>
      <c r="R16" s="13">
        <f>TimeToSeconds(Q16)</f>
        <v>0</v>
      </c>
      <c r="S16" s="2"/>
      <c r="T16" s="19">
        <f>R16+S16</f>
        <v>0</v>
      </c>
      <c r="U16" s="20">
        <f>P16+T16</f>
        <v>0</v>
      </c>
      <c r="V16" s="21">
        <f>RANK(U16,U:U,1)</f>
        <v>1</v>
      </c>
      <c r="W16" s="22">
        <f>K16+U16</f>
        <v>223.39999999999998</v>
      </c>
      <c r="X16" s="23">
        <f>RANK(W16,W:W,1)</f>
        <v>5</v>
      </c>
    </row>
    <row r="17" spans="1:24" ht="21.75" customHeight="1" x14ac:dyDescent="0.25">
      <c r="A17" s="26">
        <v>4</v>
      </c>
      <c r="B17" s="24" t="s">
        <v>18</v>
      </c>
      <c r="C17" s="3">
        <v>1.1307870370370371E-3</v>
      </c>
      <c r="D17" s="12">
        <f>TimeToSeconds(C17)</f>
        <v>97.700000000000017</v>
      </c>
      <c r="E17" s="2">
        <v>25</v>
      </c>
      <c r="F17" s="2">
        <f>D17+E17</f>
        <v>122.70000000000002</v>
      </c>
      <c r="G17" s="4">
        <v>1.2743055555555557E-3</v>
      </c>
      <c r="H17" s="2">
        <f>TimeToSeconds(G17)</f>
        <v>110.10000000000001</v>
      </c>
      <c r="I17" s="13">
        <v>5</v>
      </c>
      <c r="J17" s="2">
        <f>H17+I17</f>
        <v>115.10000000000001</v>
      </c>
      <c r="K17" s="14">
        <f>F17+J17</f>
        <v>237.8</v>
      </c>
      <c r="L17" s="15">
        <f>RANK(K17,K:K,1)</f>
        <v>6</v>
      </c>
      <c r="M17" s="4"/>
      <c r="N17" s="2">
        <f>TimeToSeconds(M17)</f>
        <v>0</v>
      </c>
      <c r="O17" s="2"/>
      <c r="P17" s="2">
        <f>N17+O17</f>
        <v>0</v>
      </c>
      <c r="Q17" s="17"/>
      <c r="R17" s="13">
        <f>TimeToSeconds(Q17)</f>
        <v>0</v>
      </c>
      <c r="S17" s="2"/>
      <c r="T17" s="19">
        <f>R17+S17</f>
        <v>0</v>
      </c>
      <c r="U17" s="20">
        <f>P17+T17</f>
        <v>0</v>
      </c>
      <c r="V17" s="21">
        <f>RANK(U17,U:U,1)</f>
        <v>1</v>
      </c>
      <c r="W17" s="22">
        <f>K17+U17</f>
        <v>237.8</v>
      </c>
      <c r="X17" s="23">
        <f>RANK(W17,W:W,1)</f>
        <v>6</v>
      </c>
    </row>
    <row r="18" spans="1:24" ht="21.75" customHeight="1" x14ac:dyDescent="0.25">
      <c r="A18" s="26">
        <v>19</v>
      </c>
      <c r="B18" s="24" t="s">
        <v>28</v>
      </c>
      <c r="C18" s="3">
        <v>1.236111111111111E-3</v>
      </c>
      <c r="D18" s="12">
        <f>TimeToSeconds(C18)</f>
        <v>106.79999999999998</v>
      </c>
      <c r="E18" s="2">
        <v>10</v>
      </c>
      <c r="F18" s="2">
        <f>D18+E18</f>
        <v>116.79999999999998</v>
      </c>
      <c r="G18" s="4">
        <v>1.2002314814814816E-3</v>
      </c>
      <c r="H18" s="2">
        <f>TimeToSeconds(G18)</f>
        <v>103.70000000000002</v>
      </c>
      <c r="I18" s="13">
        <v>20</v>
      </c>
      <c r="J18" s="2">
        <f>H18+I18</f>
        <v>123.70000000000002</v>
      </c>
      <c r="K18" s="14">
        <f>F18+J18</f>
        <v>240.5</v>
      </c>
      <c r="L18" s="15">
        <f>RANK(K18,K:K,1)</f>
        <v>7</v>
      </c>
      <c r="M18" s="4"/>
      <c r="N18" s="2">
        <f>TimeToSeconds(M18)</f>
        <v>0</v>
      </c>
      <c r="O18" s="2"/>
      <c r="P18" s="2">
        <f>N18+O18</f>
        <v>0</v>
      </c>
      <c r="Q18" s="17"/>
      <c r="R18" s="13">
        <f>TimeToSeconds(Q18)</f>
        <v>0</v>
      </c>
      <c r="S18" s="2"/>
      <c r="T18" s="19">
        <f>R18+S18</f>
        <v>0</v>
      </c>
      <c r="U18" s="20">
        <f>P18+T18</f>
        <v>0</v>
      </c>
      <c r="V18" s="21">
        <f>RANK(U18,U:U,1)</f>
        <v>1</v>
      </c>
      <c r="W18" s="22">
        <f>K18+U18</f>
        <v>240.5</v>
      </c>
      <c r="X18" s="23">
        <f>RANK(W18,W:W,1)</f>
        <v>7</v>
      </c>
    </row>
    <row r="19" spans="1:24" ht="21.75" customHeight="1" x14ac:dyDescent="0.25">
      <c r="A19" s="26">
        <v>7</v>
      </c>
      <c r="B19" s="24" t="s">
        <v>20</v>
      </c>
      <c r="C19" s="3">
        <v>1.0740740740740741E-3</v>
      </c>
      <c r="D19" s="12">
        <f>TimeToSeconds(C19)</f>
        <v>92.8</v>
      </c>
      <c r="E19" s="2">
        <v>35</v>
      </c>
      <c r="F19" s="2">
        <f>D19+E19</f>
        <v>127.8</v>
      </c>
      <c r="G19" s="4">
        <v>1.1180555555555555E-3</v>
      </c>
      <c r="H19" s="2">
        <f>TimeToSeconds(G19)</f>
        <v>96.600000000000009</v>
      </c>
      <c r="I19" s="13">
        <v>20</v>
      </c>
      <c r="J19" s="2">
        <f>H19+I19</f>
        <v>116.60000000000001</v>
      </c>
      <c r="K19" s="14">
        <f>F19+J19</f>
        <v>244.4</v>
      </c>
      <c r="L19" s="15">
        <f>RANK(K19,K:K,1)</f>
        <v>8</v>
      </c>
      <c r="M19" s="4"/>
      <c r="N19" s="2">
        <f>TimeToSeconds(M19)</f>
        <v>0</v>
      </c>
      <c r="O19" s="2"/>
      <c r="P19" s="2">
        <f>N19+O19</f>
        <v>0</v>
      </c>
      <c r="Q19" s="17"/>
      <c r="R19" s="13">
        <f>TimeToSeconds(Q19)</f>
        <v>0</v>
      </c>
      <c r="S19" s="2"/>
      <c r="T19" s="19">
        <f>R19+S19</f>
        <v>0</v>
      </c>
      <c r="U19" s="20">
        <f>P19+T19</f>
        <v>0</v>
      </c>
      <c r="V19" s="21">
        <f>RANK(U19,U:U,1)</f>
        <v>1</v>
      </c>
      <c r="W19" s="22">
        <f>K19+U19</f>
        <v>244.4</v>
      </c>
      <c r="X19" s="23">
        <f>RANK(W19,W:W,1)</f>
        <v>8</v>
      </c>
    </row>
    <row r="20" spans="1:24" ht="21.75" customHeight="1" x14ac:dyDescent="0.25">
      <c r="A20" s="26">
        <v>20</v>
      </c>
      <c r="B20" s="24" t="s">
        <v>29</v>
      </c>
      <c r="C20" s="3">
        <v>1.2627314814814814E-3</v>
      </c>
      <c r="D20" s="12">
        <f>TimeToSeconds(C20)</f>
        <v>109.1</v>
      </c>
      <c r="E20" s="2">
        <v>10</v>
      </c>
      <c r="F20" s="2">
        <f>D20+E20</f>
        <v>119.1</v>
      </c>
      <c r="G20" s="4">
        <v>1.425925925925926E-3</v>
      </c>
      <c r="H20" s="2">
        <f>TimeToSeconds(G20)</f>
        <v>123.19999999999999</v>
      </c>
      <c r="I20" s="13">
        <v>10</v>
      </c>
      <c r="J20" s="2">
        <f>H20+I20</f>
        <v>133.19999999999999</v>
      </c>
      <c r="K20" s="14">
        <f>F20+J20</f>
        <v>252.29999999999998</v>
      </c>
      <c r="L20" s="15">
        <f>RANK(K20,K:K,1)</f>
        <v>9</v>
      </c>
      <c r="M20" s="16"/>
      <c r="N20" s="2">
        <f>TimeToSeconds(M20)</f>
        <v>0</v>
      </c>
      <c r="O20" s="5"/>
      <c r="P20" s="2">
        <f>N20+O20</f>
        <v>0</v>
      </c>
      <c r="Q20" s="18"/>
      <c r="R20" s="13">
        <f>TimeToSeconds(Q20)</f>
        <v>0</v>
      </c>
      <c r="S20" s="5"/>
      <c r="T20" s="19">
        <f>R20+S20</f>
        <v>0</v>
      </c>
      <c r="U20" s="20">
        <f>P20+T20</f>
        <v>0</v>
      </c>
      <c r="V20" s="21">
        <f>RANK(U20,U:U,1)</f>
        <v>1</v>
      </c>
      <c r="W20" s="22">
        <f>K20+U20</f>
        <v>252.29999999999998</v>
      </c>
      <c r="X20" s="23">
        <f>RANK(W20,W:W,1)</f>
        <v>9</v>
      </c>
    </row>
    <row r="21" spans="1:24" ht="21.75" customHeight="1" x14ac:dyDescent="0.25">
      <c r="A21" s="31">
        <v>32</v>
      </c>
      <c r="B21" s="32" t="s">
        <v>34</v>
      </c>
      <c r="C21" s="33">
        <v>1.0844907407407407E-3</v>
      </c>
      <c r="D21" s="34">
        <f>TimeToSeconds(C21)</f>
        <v>93.699999999999989</v>
      </c>
      <c r="E21" s="13">
        <v>35</v>
      </c>
      <c r="F21" s="13">
        <f>D21+E21</f>
        <v>128.69999999999999</v>
      </c>
      <c r="G21" s="17">
        <v>1.0659722222222223E-3</v>
      </c>
      <c r="H21" s="13">
        <f>TimeToSeconds(G21)</f>
        <v>92.1</v>
      </c>
      <c r="I21" s="13">
        <v>50</v>
      </c>
      <c r="J21" s="13">
        <f>H21+I21</f>
        <v>142.1</v>
      </c>
      <c r="K21" s="14">
        <f>F21+J21</f>
        <v>270.79999999999995</v>
      </c>
      <c r="L21" s="35">
        <f>RANK(K21,K:K,1)</f>
        <v>10</v>
      </c>
      <c r="M21" s="4"/>
      <c r="N21" s="2">
        <f>TimeToSeconds(M21)</f>
        <v>0</v>
      </c>
      <c r="O21" s="2"/>
      <c r="P21" s="2">
        <f>N21+O21</f>
        <v>0</v>
      </c>
      <c r="Q21" s="17"/>
      <c r="R21" s="13">
        <f>TimeToSeconds(Q21)</f>
        <v>0</v>
      </c>
      <c r="S21" s="2"/>
      <c r="T21" s="19">
        <f>R21+S21</f>
        <v>0</v>
      </c>
      <c r="U21" s="20">
        <f>P21+T21</f>
        <v>0</v>
      </c>
      <c r="V21" s="21">
        <f>RANK(U21,U:U,1)</f>
        <v>1</v>
      </c>
      <c r="W21" s="22">
        <f>K21+U21</f>
        <v>270.79999999999995</v>
      </c>
      <c r="X21" s="23">
        <f>RANK(W21,W:W,1)</f>
        <v>10</v>
      </c>
    </row>
    <row r="22" spans="1:24" ht="21.75" customHeight="1" x14ac:dyDescent="0.25">
      <c r="A22" s="26">
        <v>1</v>
      </c>
      <c r="B22" s="24" t="s">
        <v>16</v>
      </c>
      <c r="C22" s="3">
        <v>1.5937499999999999E-3</v>
      </c>
      <c r="D22" s="12">
        <f>TimeToSeconds(C22)</f>
        <v>137.69999999999999</v>
      </c>
      <c r="E22" s="2">
        <v>5</v>
      </c>
      <c r="F22" s="2">
        <f>D22+E22</f>
        <v>142.69999999999999</v>
      </c>
      <c r="G22" s="4">
        <v>1.3576388888888889E-3</v>
      </c>
      <c r="H22" s="2">
        <f>TimeToSeconds(G22)</f>
        <v>117.3</v>
      </c>
      <c r="I22" s="13">
        <v>20</v>
      </c>
      <c r="J22" s="2">
        <f>H22+I22</f>
        <v>137.30000000000001</v>
      </c>
      <c r="K22" s="14">
        <f>F22+J22</f>
        <v>280</v>
      </c>
      <c r="L22" s="15">
        <f>RANK(K22,K:K,1)</f>
        <v>11</v>
      </c>
      <c r="M22" s="16"/>
      <c r="N22" s="2">
        <f>TimeToSeconds(M22)</f>
        <v>0</v>
      </c>
      <c r="O22" s="5"/>
      <c r="P22" s="2">
        <f>N22+O22</f>
        <v>0</v>
      </c>
      <c r="Q22" s="18"/>
      <c r="R22" s="13">
        <f>TimeToSeconds(Q22)</f>
        <v>0</v>
      </c>
      <c r="S22" s="5"/>
      <c r="T22" s="19">
        <f>R22+S22</f>
        <v>0</v>
      </c>
      <c r="U22" s="20">
        <f>P22+T22</f>
        <v>0</v>
      </c>
      <c r="V22" s="21">
        <f>RANK(U22,U:U,1)</f>
        <v>1</v>
      </c>
      <c r="W22" s="22">
        <f>K22+U22</f>
        <v>280</v>
      </c>
      <c r="X22" s="23">
        <f>RANK(W22,W:W,1)</f>
        <v>11</v>
      </c>
    </row>
    <row r="23" spans="1:24" ht="21.75" customHeight="1" x14ac:dyDescent="0.25">
      <c r="A23" s="26">
        <v>16</v>
      </c>
      <c r="B23" s="24" t="s">
        <v>26</v>
      </c>
      <c r="C23" s="3">
        <v>1.6539351851851854E-3</v>
      </c>
      <c r="D23" s="12">
        <f>TimeToSeconds(C23)</f>
        <v>142.9</v>
      </c>
      <c r="E23" s="2">
        <v>10</v>
      </c>
      <c r="F23" s="2">
        <f>D23+E23</f>
        <v>152.9</v>
      </c>
      <c r="G23" s="4">
        <v>1.4745370370370372E-3</v>
      </c>
      <c r="H23" s="2">
        <f>TimeToSeconds(G23)</f>
        <v>127.4</v>
      </c>
      <c r="I23" s="13">
        <v>5</v>
      </c>
      <c r="J23" s="2">
        <f>H23+I23</f>
        <v>132.4</v>
      </c>
      <c r="K23" s="14">
        <f>F23+J23</f>
        <v>285.3</v>
      </c>
      <c r="L23" s="15">
        <f>RANK(K23,K:K,1)</f>
        <v>12</v>
      </c>
      <c r="M23" s="4"/>
      <c r="N23" s="2">
        <f>TimeToSeconds(M23)</f>
        <v>0</v>
      </c>
      <c r="O23" s="2"/>
      <c r="P23" s="2">
        <f>N23+O23</f>
        <v>0</v>
      </c>
      <c r="Q23" s="17"/>
      <c r="R23" s="13">
        <f>TimeToSeconds(Q23)</f>
        <v>0</v>
      </c>
      <c r="S23" s="2"/>
      <c r="T23" s="19">
        <f>R23+S23</f>
        <v>0</v>
      </c>
      <c r="U23" s="20">
        <f>P23+T23</f>
        <v>0</v>
      </c>
      <c r="V23" s="21">
        <f>RANK(U23,U:U,1)</f>
        <v>1</v>
      </c>
      <c r="W23" s="22">
        <f>K23+U23</f>
        <v>285.3</v>
      </c>
      <c r="X23" s="23">
        <f>RANK(W23,W:W,1)</f>
        <v>12</v>
      </c>
    </row>
    <row r="24" spans="1:24" ht="21.75" customHeight="1" x14ac:dyDescent="0.25">
      <c r="A24" s="26">
        <v>28</v>
      </c>
      <c r="B24" s="24" t="s">
        <v>31</v>
      </c>
      <c r="C24" s="3">
        <v>1.6828703703703704E-3</v>
      </c>
      <c r="D24" s="12">
        <f>TimeToSeconds(C24)</f>
        <v>145.4</v>
      </c>
      <c r="E24" s="2">
        <v>5</v>
      </c>
      <c r="F24" s="2">
        <f>D24+E24</f>
        <v>150.4</v>
      </c>
      <c r="G24" s="4">
        <v>1.5196759259259261E-3</v>
      </c>
      <c r="H24" s="2">
        <f>TimeToSeconds(G24)</f>
        <v>131.30000000000001</v>
      </c>
      <c r="I24" s="13">
        <v>30</v>
      </c>
      <c r="J24" s="2">
        <f>H24+I24</f>
        <v>161.30000000000001</v>
      </c>
      <c r="K24" s="14">
        <f>F24+J24</f>
        <v>311.70000000000005</v>
      </c>
      <c r="L24" s="15">
        <f>RANK(K24,K:K,1)</f>
        <v>13</v>
      </c>
      <c r="M24" s="16"/>
      <c r="N24" s="2">
        <f>TimeToSeconds(M24)</f>
        <v>0</v>
      </c>
      <c r="O24" s="5"/>
      <c r="P24" s="2">
        <f>N24+O24</f>
        <v>0</v>
      </c>
      <c r="Q24" s="18"/>
      <c r="R24" s="13">
        <f>TimeToSeconds(Q24)</f>
        <v>0</v>
      </c>
      <c r="S24" s="5"/>
      <c r="T24" s="19">
        <f>R24+S24</f>
        <v>0</v>
      </c>
      <c r="U24" s="20">
        <f>P24+T24</f>
        <v>0</v>
      </c>
      <c r="V24" s="21">
        <f>RANK(U24,U:U,1)</f>
        <v>1</v>
      </c>
      <c r="W24" s="22">
        <f>K24+U24</f>
        <v>311.70000000000005</v>
      </c>
      <c r="X24" s="23">
        <f>RANK(W24,W:W,1)</f>
        <v>13</v>
      </c>
    </row>
    <row r="25" spans="1:24" ht="21.75" customHeight="1" x14ac:dyDescent="0.25">
      <c r="A25" s="26">
        <v>11</v>
      </c>
      <c r="B25" s="24" t="s">
        <v>23</v>
      </c>
      <c r="C25" s="3">
        <v>1.5474537037037039E-3</v>
      </c>
      <c r="D25" s="12">
        <f>TimeToSeconds(C25)</f>
        <v>133.70000000000002</v>
      </c>
      <c r="E25" s="2">
        <v>10</v>
      </c>
      <c r="F25" s="2">
        <f>D25+E25</f>
        <v>143.70000000000002</v>
      </c>
      <c r="G25" s="4">
        <v>1.3263888888888891E-3</v>
      </c>
      <c r="H25" s="2">
        <f>TimeToSeconds(G25)</f>
        <v>114.60000000000002</v>
      </c>
      <c r="I25" s="13">
        <v>60</v>
      </c>
      <c r="J25" s="2">
        <f>H25+I25</f>
        <v>174.60000000000002</v>
      </c>
      <c r="K25" s="14">
        <f>F25+J25</f>
        <v>318.30000000000007</v>
      </c>
      <c r="L25" s="15">
        <f>RANK(K25,K:K,1)</f>
        <v>14</v>
      </c>
      <c r="M25" s="4"/>
      <c r="N25" s="2">
        <f>TimeToSeconds(M25)</f>
        <v>0</v>
      </c>
      <c r="O25" s="2"/>
      <c r="P25" s="2">
        <f>N25+O25</f>
        <v>0</v>
      </c>
      <c r="Q25" s="17"/>
      <c r="R25" s="13">
        <f>TimeToSeconds(Q25)</f>
        <v>0</v>
      </c>
      <c r="S25" s="2"/>
      <c r="T25" s="19">
        <f>R25+S25</f>
        <v>0</v>
      </c>
      <c r="U25" s="20">
        <f>P25+T25</f>
        <v>0</v>
      </c>
      <c r="V25" s="21">
        <f>RANK(U25,U:U,1)</f>
        <v>1</v>
      </c>
      <c r="W25" s="22">
        <f>K25+U25</f>
        <v>318.30000000000007</v>
      </c>
      <c r="X25" s="23">
        <f>RANK(W25,W:W,1)</f>
        <v>14</v>
      </c>
    </row>
    <row r="26" spans="1:24" ht="21.75" customHeight="1" x14ac:dyDescent="0.25">
      <c r="A26" s="26">
        <v>8</v>
      </c>
      <c r="B26" s="24" t="s">
        <v>21</v>
      </c>
      <c r="C26" s="3">
        <v>1.6608796296296296E-3</v>
      </c>
      <c r="D26" s="12">
        <f>TimeToSeconds(C26)</f>
        <v>143.5</v>
      </c>
      <c r="E26" s="2">
        <v>10</v>
      </c>
      <c r="F26" s="2">
        <f>D26+E26</f>
        <v>153.5</v>
      </c>
      <c r="G26" s="4">
        <v>1.6423611111111111E-3</v>
      </c>
      <c r="H26" s="2">
        <f>TimeToSeconds(G26)</f>
        <v>141.9</v>
      </c>
      <c r="I26" s="13">
        <v>30</v>
      </c>
      <c r="J26" s="2">
        <f>H26+I26</f>
        <v>171.9</v>
      </c>
      <c r="K26" s="14">
        <f>F26+J26</f>
        <v>325.39999999999998</v>
      </c>
      <c r="L26" s="15">
        <f>RANK(K26,K:K,1)</f>
        <v>15</v>
      </c>
      <c r="M26" s="4"/>
      <c r="N26" s="2">
        <f>TimeToSeconds(M26)</f>
        <v>0</v>
      </c>
      <c r="O26" s="2"/>
      <c r="P26" s="2">
        <f>N26+O26</f>
        <v>0</v>
      </c>
      <c r="Q26" s="17"/>
      <c r="R26" s="13">
        <f>TimeToSeconds(Q26)</f>
        <v>0</v>
      </c>
      <c r="S26" s="2"/>
      <c r="T26" s="19">
        <f>R26+S26</f>
        <v>0</v>
      </c>
      <c r="U26" s="20">
        <f>P26+T26</f>
        <v>0</v>
      </c>
      <c r="V26" s="21">
        <f>RANK(U26,U:U,1)</f>
        <v>1</v>
      </c>
      <c r="W26" s="22">
        <f>K26+U26</f>
        <v>325.39999999999998</v>
      </c>
      <c r="X26" s="23">
        <f>RANK(W26,W:W,1)</f>
        <v>15</v>
      </c>
    </row>
    <row r="27" spans="1:24" ht="21.75" customHeight="1" x14ac:dyDescent="0.25">
      <c r="A27" s="26">
        <v>29</v>
      </c>
      <c r="B27" s="24" t="s">
        <v>32</v>
      </c>
      <c r="C27" s="3">
        <v>1.3611111111111109E-3</v>
      </c>
      <c r="D27" s="12">
        <f>TimeToSeconds(C27)</f>
        <v>117.59999999999998</v>
      </c>
      <c r="E27" s="2">
        <v>30</v>
      </c>
      <c r="F27" s="2">
        <f>D27+E27</f>
        <v>147.59999999999997</v>
      </c>
      <c r="G27" s="4">
        <v>1.3738425925925925E-3</v>
      </c>
      <c r="H27" s="2">
        <f>TimeToSeconds(G27)</f>
        <v>118.7</v>
      </c>
      <c r="I27" s="13">
        <v>70</v>
      </c>
      <c r="J27" s="2">
        <f>H27+I27</f>
        <v>188.7</v>
      </c>
      <c r="K27" s="14">
        <f>F27+J27</f>
        <v>336.29999999999995</v>
      </c>
      <c r="L27" s="15">
        <f>RANK(K27,K:K,1)</f>
        <v>16</v>
      </c>
      <c r="M27" s="16"/>
      <c r="N27" s="2">
        <f>TimeToSeconds(M27)</f>
        <v>0</v>
      </c>
      <c r="O27" s="5"/>
      <c r="P27" s="2">
        <f>N27+O27</f>
        <v>0</v>
      </c>
      <c r="Q27" s="18"/>
      <c r="R27" s="13">
        <f>TimeToSeconds(Q27)</f>
        <v>0</v>
      </c>
      <c r="S27" s="5"/>
      <c r="T27" s="19">
        <f>R27+S27</f>
        <v>0</v>
      </c>
      <c r="U27" s="20">
        <f>P27+T27</f>
        <v>0</v>
      </c>
      <c r="V27" s="21">
        <f>RANK(U27,U:U,1)</f>
        <v>1</v>
      </c>
      <c r="W27" s="22">
        <f>K27+U27</f>
        <v>336.29999999999995</v>
      </c>
      <c r="X27" s="23">
        <f>RANK(W27,W:W,1)</f>
        <v>16</v>
      </c>
    </row>
    <row r="28" spans="1:24" ht="21.75" customHeight="1" x14ac:dyDescent="0.25">
      <c r="A28" s="26">
        <v>10</v>
      </c>
      <c r="B28" s="24" t="s">
        <v>22</v>
      </c>
      <c r="C28" s="3">
        <v>1.8113425925925927E-3</v>
      </c>
      <c r="D28" s="12">
        <f>TimeToSeconds(C28)</f>
        <v>156.5</v>
      </c>
      <c r="E28" s="2">
        <v>30</v>
      </c>
      <c r="F28" s="2">
        <f>D28+E28</f>
        <v>186.5</v>
      </c>
      <c r="G28" s="4">
        <v>1.5682870370370371E-3</v>
      </c>
      <c r="H28" s="2">
        <f>TimeToSeconds(G28)</f>
        <v>135.5</v>
      </c>
      <c r="I28" s="13">
        <v>45</v>
      </c>
      <c r="J28" s="2">
        <f>H28+I28</f>
        <v>180.5</v>
      </c>
      <c r="K28" s="14">
        <f>F28+J28</f>
        <v>367</v>
      </c>
      <c r="L28" s="15">
        <f>RANK(K28,K:K,1)</f>
        <v>17</v>
      </c>
      <c r="M28" s="4"/>
      <c r="N28" s="2">
        <f>TimeToSeconds(M28)</f>
        <v>0</v>
      </c>
      <c r="O28" s="2"/>
      <c r="P28" s="2">
        <f>N28+O28</f>
        <v>0</v>
      </c>
      <c r="Q28" s="17"/>
      <c r="R28" s="13">
        <f>TimeToSeconds(Q28)</f>
        <v>0</v>
      </c>
      <c r="S28" s="2"/>
      <c r="T28" s="19">
        <f>R28+S28</f>
        <v>0</v>
      </c>
      <c r="U28" s="20">
        <f>P28+T28</f>
        <v>0</v>
      </c>
      <c r="V28" s="21">
        <f>RANK(U28,U:U,1)</f>
        <v>1</v>
      </c>
      <c r="W28" s="22">
        <f>K28+U28</f>
        <v>367</v>
      </c>
      <c r="X28" s="23">
        <f>RANK(W28,W:W,1)</f>
        <v>17</v>
      </c>
    </row>
    <row r="29" spans="1:24" ht="21.75" customHeight="1" x14ac:dyDescent="0.25">
      <c r="A29" s="26">
        <v>13</v>
      </c>
      <c r="B29" s="24" t="s">
        <v>24</v>
      </c>
      <c r="C29" s="3">
        <v>1.6458333333333333E-3</v>
      </c>
      <c r="D29" s="12">
        <f>TimeToSeconds(C29)</f>
        <v>142.20000000000002</v>
      </c>
      <c r="E29" s="2">
        <v>50</v>
      </c>
      <c r="F29" s="2">
        <f>D29+E29</f>
        <v>192.20000000000002</v>
      </c>
      <c r="G29" s="4">
        <v>1.4386574074074076E-3</v>
      </c>
      <c r="H29" s="2">
        <f>TimeToSeconds(G29)</f>
        <v>124.30000000000001</v>
      </c>
      <c r="I29" s="13">
        <v>75</v>
      </c>
      <c r="J29" s="2">
        <f>H29+I29</f>
        <v>199.3</v>
      </c>
      <c r="K29" s="14">
        <f>F29+J29</f>
        <v>391.5</v>
      </c>
      <c r="L29" s="15">
        <f>RANK(K29,K:K,1)</f>
        <v>18</v>
      </c>
      <c r="M29" s="4"/>
      <c r="N29" s="2">
        <f>TimeToSeconds(M29)</f>
        <v>0</v>
      </c>
      <c r="O29" s="2"/>
      <c r="P29" s="2">
        <f>N29+O29</f>
        <v>0</v>
      </c>
      <c r="Q29" s="17"/>
      <c r="R29" s="13">
        <f>TimeToSeconds(Q29)</f>
        <v>0</v>
      </c>
      <c r="S29" s="2"/>
      <c r="T29" s="19">
        <f>R29+S29</f>
        <v>0</v>
      </c>
      <c r="U29" s="20">
        <f>P29+T29</f>
        <v>0</v>
      </c>
      <c r="V29" s="21">
        <f>RANK(U29,U:U,1)</f>
        <v>1</v>
      </c>
      <c r="W29" s="22">
        <f>K29+U29</f>
        <v>391.5</v>
      </c>
      <c r="X29" s="23">
        <f>RANK(W29,W:W,1)</f>
        <v>18</v>
      </c>
    </row>
    <row r="30" spans="1:24" ht="21.75" customHeight="1" x14ac:dyDescent="0.25">
      <c r="A30" s="26">
        <v>31</v>
      </c>
      <c r="B30" s="24" t="s">
        <v>33</v>
      </c>
      <c r="C30" s="3">
        <v>1.7719907407407409E-3</v>
      </c>
      <c r="D30" s="12">
        <f>TimeToSeconds(C30)</f>
        <v>153.1</v>
      </c>
      <c r="E30" s="2">
        <v>55</v>
      </c>
      <c r="F30" s="2">
        <f>D30+E30</f>
        <v>208.1</v>
      </c>
      <c r="G30" s="4">
        <v>1.7777777777777776E-3</v>
      </c>
      <c r="H30" s="2">
        <f>TimeToSeconds(G30)</f>
        <v>153.6</v>
      </c>
      <c r="I30" s="13">
        <v>60</v>
      </c>
      <c r="J30" s="2">
        <f>H30+I30</f>
        <v>213.6</v>
      </c>
      <c r="K30" s="14">
        <f>F30+J30</f>
        <v>421.7</v>
      </c>
      <c r="L30" s="15">
        <f>RANK(K30,K:K,1)</f>
        <v>19</v>
      </c>
      <c r="M30" s="16"/>
      <c r="N30" s="2">
        <f>TimeToSeconds(M30)</f>
        <v>0</v>
      </c>
      <c r="O30" s="5"/>
      <c r="P30" s="2">
        <f>N30+O30</f>
        <v>0</v>
      </c>
      <c r="Q30" s="18"/>
      <c r="R30" s="13">
        <f>TimeToSeconds(Q30)</f>
        <v>0</v>
      </c>
      <c r="S30" s="5"/>
      <c r="T30" s="19">
        <f>R30+S30</f>
        <v>0</v>
      </c>
      <c r="U30" s="20">
        <f>P30+T30</f>
        <v>0</v>
      </c>
      <c r="V30" s="21">
        <f>RANK(U30,U:U,1)</f>
        <v>1</v>
      </c>
      <c r="W30" s="22">
        <f>K30+U30</f>
        <v>421.7</v>
      </c>
      <c r="X30" s="23">
        <f>RANK(W30,W:W,1)</f>
        <v>19</v>
      </c>
    </row>
    <row r="31" spans="1:24" ht="21.75" customHeight="1" x14ac:dyDescent="0.25">
      <c r="A31" s="26">
        <v>36</v>
      </c>
      <c r="B31" s="24" t="s">
        <v>36</v>
      </c>
      <c r="C31" s="3">
        <v>1.2905092592592593E-3</v>
      </c>
      <c r="D31" s="12">
        <f>TimeToSeconds(C31)</f>
        <v>111.49999999999999</v>
      </c>
      <c r="E31" s="2">
        <v>120</v>
      </c>
      <c r="F31" s="2">
        <f>D31+E31</f>
        <v>231.5</v>
      </c>
      <c r="G31" s="4">
        <v>1.3576388888888889E-3</v>
      </c>
      <c r="H31" s="2">
        <f>TimeToSeconds(G31)</f>
        <v>117.3</v>
      </c>
      <c r="I31" s="13">
        <v>130</v>
      </c>
      <c r="J31" s="2">
        <f>H31+I31</f>
        <v>247.3</v>
      </c>
      <c r="K31" s="14">
        <f>F31+J31</f>
        <v>478.8</v>
      </c>
      <c r="L31" s="15">
        <f>RANK(K31,K:K,1)</f>
        <v>20</v>
      </c>
      <c r="M31" s="16"/>
      <c r="N31" s="2">
        <f>TimeToSeconds(M31)</f>
        <v>0</v>
      </c>
      <c r="O31" s="5"/>
      <c r="P31" s="2">
        <f>N31+O31</f>
        <v>0</v>
      </c>
      <c r="Q31" s="18"/>
      <c r="R31" s="13">
        <f>TimeToSeconds(Q31)</f>
        <v>0</v>
      </c>
      <c r="S31" s="5"/>
      <c r="T31" s="19">
        <f>R31+S31</f>
        <v>0</v>
      </c>
      <c r="U31" s="20">
        <f>P31+T31</f>
        <v>0</v>
      </c>
      <c r="V31" s="21">
        <f>RANK(U31,U:U,1)</f>
        <v>1</v>
      </c>
      <c r="W31" s="22">
        <f>K31+U31</f>
        <v>478.8</v>
      </c>
      <c r="X31" s="23">
        <f>RANK(W31,W:W,1)</f>
        <v>20</v>
      </c>
    </row>
    <row r="32" spans="1:24" ht="21.75" customHeight="1" x14ac:dyDescent="0.25">
      <c r="A32" s="26">
        <v>27</v>
      </c>
      <c r="B32" s="24" t="s">
        <v>30</v>
      </c>
      <c r="C32" s="3">
        <v>2.1886574074074074E-3</v>
      </c>
      <c r="D32" s="12">
        <f>TimeToSeconds(C32)</f>
        <v>189.10000000000002</v>
      </c>
      <c r="E32" s="2">
        <v>65</v>
      </c>
      <c r="F32" s="2">
        <f>D32+E32</f>
        <v>254.10000000000002</v>
      </c>
      <c r="G32" s="4">
        <v>2.0520833333333333E-3</v>
      </c>
      <c r="H32" s="2">
        <f>TimeToSeconds(G32)</f>
        <v>177.3</v>
      </c>
      <c r="I32" s="13">
        <v>90</v>
      </c>
      <c r="J32" s="2">
        <f>H32+I32</f>
        <v>267.3</v>
      </c>
      <c r="K32" s="14">
        <f>F32+J32</f>
        <v>521.40000000000009</v>
      </c>
      <c r="L32" s="15">
        <f>RANK(K32,K:K,1)</f>
        <v>21</v>
      </c>
      <c r="M32" s="4"/>
      <c r="N32" s="2">
        <f>TimeToSeconds(M32)</f>
        <v>0</v>
      </c>
      <c r="O32" s="2"/>
      <c r="P32" s="2">
        <f>N32+O32</f>
        <v>0</v>
      </c>
      <c r="Q32" s="17"/>
      <c r="R32" s="13">
        <f>TimeToSeconds(Q32)</f>
        <v>0</v>
      </c>
      <c r="S32" s="2"/>
      <c r="T32" s="19">
        <f>R32+S32</f>
        <v>0</v>
      </c>
      <c r="U32" s="20">
        <f>P32+T32</f>
        <v>0</v>
      </c>
      <c r="V32" s="21">
        <f>RANK(U32,U:U,1)</f>
        <v>1</v>
      </c>
      <c r="W32" s="22">
        <f>K32+U32</f>
        <v>521.40000000000009</v>
      </c>
      <c r="X32" s="23">
        <f>RANK(W32,W:W,1)</f>
        <v>21</v>
      </c>
    </row>
    <row r="35" spans="1:3" ht="18.75" x14ac:dyDescent="0.25">
      <c r="A35" s="36"/>
      <c r="C35" s="37"/>
    </row>
  </sheetData>
  <sortState ref="A12:X32">
    <sortCondition ref="L12:L32"/>
  </sortState>
  <mergeCells count="16">
    <mergeCell ref="W9:W11"/>
    <mergeCell ref="X9:X11"/>
    <mergeCell ref="A4:X8"/>
    <mergeCell ref="A1:X3"/>
    <mergeCell ref="M10:P10"/>
    <mergeCell ref="Q10:T10"/>
    <mergeCell ref="A9:A11"/>
    <mergeCell ref="C10:F10"/>
    <mergeCell ref="G10:J10"/>
    <mergeCell ref="B9:B11"/>
    <mergeCell ref="V10:V11"/>
    <mergeCell ref="U10:U11"/>
    <mergeCell ref="M9:V9"/>
    <mergeCell ref="K10:K11"/>
    <mergeCell ref="L10:L11"/>
    <mergeCell ref="C9:L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A19"/>
  <sheetViews>
    <sheetView tabSelected="1" zoomScale="80" zoomScaleNormal="80" workbookViewId="0">
      <selection activeCell="L19" sqref="G18:L19"/>
    </sheetView>
  </sheetViews>
  <sheetFormatPr defaultRowHeight="15" x14ac:dyDescent="0.25"/>
  <cols>
    <col min="1" max="1" width="11.28515625" customWidth="1"/>
    <col min="2" max="2" width="36.7109375" customWidth="1"/>
    <col min="3" max="3" width="13.42578125" customWidth="1"/>
    <col min="4" max="4" width="11.140625" customWidth="1"/>
    <col min="5" max="5" width="9.85546875" customWidth="1"/>
    <col min="6" max="6" width="12" customWidth="1"/>
    <col min="7" max="7" width="14" customWidth="1"/>
    <col min="8" max="8" width="12" customWidth="1"/>
    <col min="9" max="9" width="8.7109375" customWidth="1"/>
    <col min="10" max="10" width="12" customWidth="1"/>
    <col min="11" max="11" width="13.28515625" customWidth="1"/>
    <col min="12" max="12" width="12" customWidth="1"/>
    <col min="13" max="13" width="14.7109375" customWidth="1"/>
    <col min="14" max="14" width="12" customWidth="1"/>
    <col min="15" max="15" width="10.85546875" customWidth="1"/>
    <col min="16" max="16" width="11.42578125" customWidth="1"/>
    <col min="17" max="17" width="14.42578125" customWidth="1"/>
    <col min="18" max="18" width="11.42578125" customWidth="1"/>
    <col min="19" max="19" width="10" customWidth="1"/>
    <col min="20" max="20" width="10.85546875" customWidth="1"/>
    <col min="21" max="21" width="13.28515625" customWidth="1"/>
    <col min="22" max="22" width="11.140625" customWidth="1"/>
    <col min="23" max="23" width="10.28515625" customWidth="1"/>
    <col min="24" max="24" width="14.140625" customWidth="1"/>
    <col min="25" max="25" width="10.28515625" customWidth="1"/>
    <col min="26" max="26" width="8.7109375" customWidth="1"/>
    <col min="27" max="27" width="10.28515625" customWidth="1"/>
  </cols>
  <sheetData>
    <row r="1" spans="1:27" ht="15" customHeight="1" x14ac:dyDescent="0.25">
      <c r="A1" s="43" t="s">
        <v>7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6"/>
      <c r="Z1" s="6"/>
      <c r="AA1" s="6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6"/>
      <c r="Z2" s="6"/>
      <c r="AA2" s="6"/>
    </row>
    <row r="3" spans="1:27" ht="40.5" customHeight="1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11"/>
      <c r="Z3" s="11"/>
      <c r="AA3" s="11"/>
    </row>
    <row r="4" spans="1:27" ht="15" customHeight="1" x14ac:dyDescent="0.25">
      <c r="A4" s="41" t="s">
        <v>45</v>
      </c>
      <c r="B4" s="41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10"/>
      <c r="Z4" s="10"/>
      <c r="AA4" s="10"/>
    </row>
    <row r="5" spans="1:27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10"/>
      <c r="Z5" s="10"/>
      <c r="AA5" s="10"/>
    </row>
    <row r="6" spans="1:27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10"/>
      <c r="Z6" s="10"/>
      <c r="AA6" s="10"/>
    </row>
    <row r="7" spans="1:27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10"/>
      <c r="Z7" s="10"/>
      <c r="AA7" s="10"/>
    </row>
    <row r="8" spans="1:27" ht="27" customHeight="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10"/>
      <c r="Z8" s="10"/>
      <c r="AA8" s="10"/>
    </row>
    <row r="9" spans="1:27" ht="19.5" customHeight="1" x14ac:dyDescent="0.25">
      <c r="A9" s="47" t="s">
        <v>9</v>
      </c>
      <c r="B9" s="50" t="s">
        <v>8</v>
      </c>
      <c r="C9" s="51" t="s">
        <v>1</v>
      </c>
      <c r="D9" s="52"/>
      <c r="E9" s="52"/>
      <c r="F9" s="52"/>
      <c r="G9" s="52"/>
      <c r="H9" s="52"/>
      <c r="I9" s="52"/>
      <c r="J9" s="52"/>
      <c r="K9" s="52"/>
      <c r="L9" s="53"/>
      <c r="M9" s="51" t="s">
        <v>5</v>
      </c>
      <c r="N9" s="52"/>
      <c r="O9" s="52"/>
      <c r="P9" s="52"/>
      <c r="Q9" s="52"/>
      <c r="R9" s="52"/>
      <c r="S9" s="52"/>
      <c r="T9" s="52"/>
      <c r="U9" s="52"/>
      <c r="V9" s="53"/>
      <c r="W9" s="38" t="s">
        <v>14</v>
      </c>
      <c r="X9" s="38" t="s">
        <v>6</v>
      </c>
    </row>
    <row r="10" spans="1:27" x14ac:dyDescent="0.25">
      <c r="A10" s="48"/>
      <c r="B10" s="48"/>
      <c r="C10" s="49" t="s">
        <v>2</v>
      </c>
      <c r="D10" s="44"/>
      <c r="E10" s="44"/>
      <c r="F10" s="44"/>
      <c r="G10" s="45" t="s">
        <v>3</v>
      </c>
      <c r="H10" s="46"/>
      <c r="I10" s="46"/>
      <c r="J10" s="46"/>
      <c r="K10" s="39" t="s">
        <v>12</v>
      </c>
      <c r="L10" s="38" t="s">
        <v>0</v>
      </c>
      <c r="M10" s="44" t="s">
        <v>2</v>
      </c>
      <c r="N10" s="44"/>
      <c r="O10" s="44"/>
      <c r="P10" s="44"/>
      <c r="Q10" s="45" t="s">
        <v>3</v>
      </c>
      <c r="R10" s="46"/>
      <c r="S10" s="46"/>
      <c r="T10" s="46"/>
      <c r="U10" s="39" t="s">
        <v>12</v>
      </c>
      <c r="V10" s="39" t="s">
        <v>0</v>
      </c>
      <c r="W10" s="39"/>
      <c r="X10" s="39"/>
    </row>
    <row r="11" spans="1:27" ht="48.75" customHeight="1" x14ac:dyDescent="0.25">
      <c r="A11" s="48"/>
      <c r="B11" s="48"/>
      <c r="C11" s="7" t="s">
        <v>4</v>
      </c>
      <c r="D11" s="7" t="s">
        <v>15</v>
      </c>
      <c r="E11" s="8" t="s">
        <v>10</v>
      </c>
      <c r="F11" s="7" t="s">
        <v>11</v>
      </c>
      <c r="G11" s="7" t="s">
        <v>4</v>
      </c>
      <c r="H11" s="7" t="s">
        <v>15</v>
      </c>
      <c r="I11" s="8" t="s">
        <v>10</v>
      </c>
      <c r="J11" s="9" t="s">
        <v>11</v>
      </c>
      <c r="K11" s="40"/>
      <c r="L11" s="40"/>
      <c r="M11" s="7" t="s">
        <v>4</v>
      </c>
      <c r="N11" s="7" t="s">
        <v>15</v>
      </c>
      <c r="O11" s="8" t="s">
        <v>10</v>
      </c>
      <c r="P11" s="7" t="s">
        <v>11</v>
      </c>
      <c r="Q11" s="7" t="s">
        <v>4</v>
      </c>
      <c r="R11" s="7" t="s">
        <v>15</v>
      </c>
      <c r="S11" s="8" t="s">
        <v>10</v>
      </c>
      <c r="T11" s="9" t="s">
        <v>11</v>
      </c>
      <c r="U11" s="40"/>
      <c r="V11" s="40"/>
      <c r="W11" s="40"/>
      <c r="X11" s="40"/>
    </row>
    <row r="12" spans="1:27" ht="21.75" customHeight="1" x14ac:dyDescent="0.25">
      <c r="A12" s="26">
        <v>21</v>
      </c>
      <c r="B12" s="27" t="s">
        <v>42</v>
      </c>
      <c r="C12" s="3">
        <v>1.5127314814814814E-3</v>
      </c>
      <c r="D12" s="12">
        <f>TimeToSeconds(C12)</f>
        <v>130.69999999999999</v>
      </c>
      <c r="E12" s="2">
        <v>15</v>
      </c>
      <c r="F12" s="2">
        <f>D12+E12</f>
        <v>145.69999999999999</v>
      </c>
      <c r="G12" s="4">
        <v>1.5150462962962962E-3</v>
      </c>
      <c r="H12" s="2">
        <f>TimeToSeconds(G12)</f>
        <v>130.9</v>
      </c>
      <c r="I12" s="13">
        <v>30</v>
      </c>
      <c r="J12" s="2">
        <f>H12+I12</f>
        <v>160.9</v>
      </c>
      <c r="K12" s="14">
        <f>F12+J12</f>
        <v>306.60000000000002</v>
      </c>
      <c r="L12" s="15">
        <f>RANK(K12,K:K,1)</f>
        <v>1</v>
      </c>
      <c r="M12" s="4"/>
      <c r="N12" s="2">
        <f>TimeToSeconds(M12)</f>
        <v>0</v>
      </c>
      <c r="O12" s="2"/>
      <c r="P12" s="2">
        <f>N12+O12</f>
        <v>0</v>
      </c>
      <c r="Q12" s="17"/>
      <c r="R12" s="13">
        <f>TimeToSeconds(Q12)</f>
        <v>0</v>
      </c>
      <c r="S12" s="2"/>
      <c r="T12" s="19">
        <f>R12+S12</f>
        <v>0</v>
      </c>
      <c r="U12" s="20">
        <f>P12+T12</f>
        <v>0</v>
      </c>
      <c r="V12" s="21">
        <f>RANK(U12,U:U,1)</f>
        <v>1</v>
      </c>
      <c r="W12" s="22">
        <f>K12+U12</f>
        <v>306.60000000000002</v>
      </c>
      <c r="X12" s="23">
        <f>RANK(W12,W:W,1)</f>
        <v>1</v>
      </c>
    </row>
    <row r="13" spans="1:27" ht="21.75" customHeight="1" x14ac:dyDescent="0.25">
      <c r="A13" s="26">
        <v>26</v>
      </c>
      <c r="B13" s="28" t="s">
        <v>44</v>
      </c>
      <c r="C13" s="3">
        <v>1.5624999999999999E-3</v>
      </c>
      <c r="D13" s="12">
        <f>TimeToSeconds(C13)</f>
        <v>135</v>
      </c>
      <c r="E13" s="2">
        <v>65</v>
      </c>
      <c r="F13" s="2">
        <f>D13+E13</f>
        <v>200</v>
      </c>
      <c r="G13" s="4">
        <v>1.5636574074074075E-3</v>
      </c>
      <c r="H13" s="2">
        <f>TimeToSeconds(G13)</f>
        <v>135.1</v>
      </c>
      <c r="I13" s="13">
        <v>45</v>
      </c>
      <c r="J13" s="2">
        <f>H13+I13</f>
        <v>180.1</v>
      </c>
      <c r="K13" s="14">
        <f>F13+J13</f>
        <v>380.1</v>
      </c>
      <c r="L13" s="15">
        <f>RANK(K13,K:K,1)</f>
        <v>2</v>
      </c>
      <c r="M13" s="4"/>
      <c r="N13" s="2">
        <f>TimeToSeconds(M13)</f>
        <v>0</v>
      </c>
      <c r="O13" s="2"/>
      <c r="P13" s="2">
        <f>N13+O13</f>
        <v>0</v>
      </c>
      <c r="Q13" s="17"/>
      <c r="R13" s="13">
        <f>TimeToSeconds(Q13)</f>
        <v>0</v>
      </c>
      <c r="S13" s="2"/>
      <c r="T13" s="19">
        <f>R13+S13</f>
        <v>0</v>
      </c>
      <c r="U13" s="20">
        <f>P13+T13</f>
        <v>0</v>
      </c>
      <c r="V13" s="21">
        <f>RANK(U13,U:U,1)</f>
        <v>1</v>
      </c>
      <c r="W13" s="22">
        <f>K13+U13</f>
        <v>380.1</v>
      </c>
      <c r="X13" s="23">
        <f>RANK(W13,W:W,1)</f>
        <v>2</v>
      </c>
    </row>
    <row r="14" spans="1:27" ht="21.75" customHeight="1" x14ac:dyDescent="0.25">
      <c r="A14" s="26">
        <v>9</v>
      </c>
      <c r="B14" s="25" t="s">
        <v>37</v>
      </c>
      <c r="C14" s="3">
        <v>1.6678240740740742E-3</v>
      </c>
      <c r="D14" s="12">
        <f>TimeToSeconds(C14)</f>
        <v>144.10000000000002</v>
      </c>
      <c r="E14" s="2">
        <v>45</v>
      </c>
      <c r="F14" s="2">
        <f>D14+E14</f>
        <v>189.10000000000002</v>
      </c>
      <c r="G14" s="4">
        <v>1.6932870370370372E-3</v>
      </c>
      <c r="H14" s="2">
        <f>TimeToSeconds(G14)</f>
        <v>146.30000000000001</v>
      </c>
      <c r="I14" s="13">
        <v>50</v>
      </c>
      <c r="J14" s="2">
        <f>H14+I14</f>
        <v>196.3</v>
      </c>
      <c r="K14" s="14">
        <f>F14+J14</f>
        <v>385.40000000000003</v>
      </c>
      <c r="L14" s="15">
        <f>RANK(K14,K:K,1)</f>
        <v>3</v>
      </c>
      <c r="M14" s="4"/>
      <c r="N14" s="2">
        <f>TimeToSeconds(M14)</f>
        <v>0</v>
      </c>
      <c r="O14" s="2"/>
      <c r="P14" s="2">
        <f>N14+O14</f>
        <v>0</v>
      </c>
      <c r="Q14" s="17"/>
      <c r="R14" s="13">
        <f>TimeToSeconds(Q14)</f>
        <v>0</v>
      </c>
      <c r="S14" s="2"/>
      <c r="T14" s="19">
        <f>R14+S14</f>
        <v>0</v>
      </c>
      <c r="U14" s="20">
        <f>P14+T14</f>
        <v>0</v>
      </c>
      <c r="V14" s="21">
        <f>RANK(U14,U:U,1)</f>
        <v>1</v>
      </c>
      <c r="W14" s="22">
        <f>K14+U14</f>
        <v>385.40000000000003</v>
      </c>
      <c r="X14" s="23">
        <f>RANK(W14,W:W,1)</f>
        <v>3</v>
      </c>
    </row>
    <row r="15" spans="1:27" ht="21.75" customHeight="1" x14ac:dyDescent="0.25">
      <c r="A15" s="26">
        <v>12</v>
      </c>
      <c r="B15" s="27" t="s">
        <v>39</v>
      </c>
      <c r="C15" s="3">
        <v>1.7349537037037036E-3</v>
      </c>
      <c r="D15" s="12">
        <f>TimeToSeconds(C15)</f>
        <v>149.89999999999998</v>
      </c>
      <c r="E15" s="2">
        <v>55</v>
      </c>
      <c r="F15" s="2">
        <f>D15+E15</f>
        <v>204.89999999999998</v>
      </c>
      <c r="G15" s="4">
        <v>1.96875E-3</v>
      </c>
      <c r="H15" s="2">
        <f>TimeToSeconds(G15)</f>
        <v>170.1</v>
      </c>
      <c r="I15" s="13">
        <v>20</v>
      </c>
      <c r="J15" s="2">
        <f>H15+I15</f>
        <v>190.1</v>
      </c>
      <c r="K15" s="14">
        <f>F15+J15</f>
        <v>395</v>
      </c>
      <c r="L15" s="15">
        <f>RANK(K15,K:K,1)</f>
        <v>4</v>
      </c>
      <c r="M15" s="4"/>
      <c r="N15" s="2">
        <f>TimeToSeconds(M15)</f>
        <v>0</v>
      </c>
      <c r="O15" s="2"/>
      <c r="P15" s="2">
        <f>N15+O15</f>
        <v>0</v>
      </c>
      <c r="Q15" s="17"/>
      <c r="R15" s="13">
        <f>TimeToSeconds(Q15)</f>
        <v>0</v>
      </c>
      <c r="S15" s="2"/>
      <c r="T15" s="19">
        <f>R15+S15</f>
        <v>0</v>
      </c>
      <c r="U15" s="20">
        <f>P15+T15</f>
        <v>0</v>
      </c>
      <c r="V15" s="21">
        <f>RANK(U15,U:U,1)</f>
        <v>1</v>
      </c>
      <c r="W15" s="22">
        <f>K15+U15</f>
        <v>395</v>
      </c>
      <c r="X15" s="23">
        <f>RANK(W15,W:W,1)</f>
        <v>4</v>
      </c>
    </row>
    <row r="16" spans="1:27" ht="21.75" customHeight="1" x14ac:dyDescent="0.25">
      <c r="A16" s="26">
        <v>3</v>
      </c>
      <c r="B16" s="27" t="s">
        <v>38</v>
      </c>
      <c r="C16" s="3">
        <v>1.7175925925925926E-3</v>
      </c>
      <c r="D16" s="12">
        <f>TimeToSeconds(C16)</f>
        <v>148.39999999999998</v>
      </c>
      <c r="E16" s="2">
        <v>30</v>
      </c>
      <c r="F16" s="2">
        <f>D16+E16</f>
        <v>178.39999999999998</v>
      </c>
      <c r="G16" s="4">
        <v>2.1423611111111109E-3</v>
      </c>
      <c r="H16" s="2">
        <f>TimeToSeconds(G16)</f>
        <v>185.1</v>
      </c>
      <c r="I16" s="13">
        <v>60</v>
      </c>
      <c r="J16" s="2">
        <f>H16+I16</f>
        <v>245.1</v>
      </c>
      <c r="K16" s="14">
        <f>F16+J16</f>
        <v>423.5</v>
      </c>
      <c r="L16" s="15">
        <f>RANK(K16,K:K,1)</f>
        <v>5</v>
      </c>
      <c r="M16" s="4"/>
      <c r="N16" s="2">
        <f>TimeToSeconds(M16)</f>
        <v>0</v>
      </c>
      <c r="O16" s="2"/>
      <c r="P16" s="2">
        <f>N16+O16</f>
        <v>0</v>
      </c>
      <c r="Q16" s="17"/>
      <c r="R16" s="13">
        <f>TimeToSeconds(Q16)</f>
        <v>0</v>
      </c>
      <c r="S16" s="2"/>
      <c r="T16" s="19">
        <f>R16+S16</f>
        <v>0</v>
      </c>
      <c r="U16" s="20">
        <f>P16+T16</f>
        <v>0</v>
      </c>
      <c r="V16" s="21">
        <f>RANK(U16,U:U,1)</f>
        <v>1</v>
      </c>
      <c r="W16" s="22">
        <f>K16+U16</f>
        <v>423.5</v>
      </c>
      <c r="X16" s="23">
        <f>RANK(W16,W:W,1)</f>
        <v>5</v>
      </c>
    </row>
    <row r="17" spans="1:24" ht="21.75" customHeight="1" x14ac:dyDescent="0.25">
      <c r="A17" s="26">
        <v>18</v>
      </c>
      <c r="B17" s="27" t="s">
        <v>43</v>
      </c>
      <c r="C17" s="3">
        <v>2.9861111111111113E-3</v>
      </c>
      <c r="D17" s="12">
        <f>TimeToSeconds(C17)</f>
        <v>258</v>
      </c>
      <c r="E17" s="2">
        <v>10</v>
      </c>
      <c r="F17" s="2">
        <f>D17+E17</f>
        <v>268</v>
      </c>
      <c r="G17" s="4">
        <v>2.9675925925925929E-3</v>
      </c>
      <c r="H17" s="2">
        <f>TimeToSeconds(G17)</f>
        <v>256.39999999999998</v>
      </c>
      <c r="I17" s="13">
        <v>15</v>
      </c>
      <c r="J17" s="2">
        <f>H17+I17</f>
        <v>271.39999999999998</v>
      </c>
      <c r="K17" s="14">
        <f>F17+J17</f>
        <v>539.4</v>
      </c>
      <c r="L17" s="15">
        <f>RANK(K17,K:K,1)</f>
        <v>6</v>
      </c>
      <c r="M17" s="4"/>
      <c r="N17" s="2">
        <f>TimeToSeconds(M17)</f>
        <v>0</v>
      </c>
      <c r="O17" s="2"/>
      <c r="P17" s="2">
        <f>N17+O17</f>
        <v>0</v>
      </c>
      <c r="Q17" s="17"/>
      <c r="R17" s="13">
        <f>TimeToSeconds(Q17)</f>
        <v>0</v>
      </c>
      <c r="S17" s="2"/>
      <c r="T17" s="19">
        <f>R17+S17</f>
        <v>0</v>
      </c>
      <c r="U17" s="20">
        <f>P17+T17</f>
        <v>0</v>
      </c>
      <c r="V17" s="21">
        <f>RANK(U17,U:U,1)</f>
        <v>1</v>
      </c>
      <c r="W17" s="22">
        <f>K17+U17</f>
        <v>539.4</v>
      </c>
      <c r="X17" s="23">
        <f>RANK(W17,W:W,1)</f>
        <v>6</v>
      </c>
    </row>
    <row r="18" spans="1:24" ht="21.75" customHeight="1" x14ac:dyDescent="0.25">
      <c r="A18" s="26">
        <v>15</v>
      </c>
      <c r="B18" s="28" t="s">
        <v>40</v>
      </c>
      <c r="C18" s="3">
        <v>3.3611111111111112E-3</v>
      </c>
      <c r="D18" s="12">
        <f>TimeToSeconds(C18)</f>
        <v>290.39999999999998</v>
      </c>
      <c r="E18" s="2">
        <v>40</v>
      </c>
      <c r="F18" s="2">
        <f>D18+E18</f>
        <v>330.4</v>
      </c>
      <c r="G18" s="30">
        <v>1.5150462962962962E-3</v>
      </c>
      <c r="H18" s="29">
        <f>TimeToSeconds(G18)</f>
        <v>130.9</v>
      </c>
      <c r="I18" s="29">
        <v>240</v>
      </c>
      <c r="J18" s="29">
        <f>H18+I18</f>
        <v>370.9</v>
      </c>
      <c r="K18" s="14">
        <f>F18+J18</f>
        <v>701.3</v>
      </c>
      <c r="L18" s="15">
        <f>RANK(K18,K:K,1)</f>
        <v>7</v>
      </c>
      <c r="M18" s="1"/>
      <c r="N18" s="2">
        <f>TimeToSeconds(M18)</f>
        <v>0</v>
      </c>
      <c r="O18" s="2"/>
      <c r="P18" s="2">
        <f>N18+O18</f>
        <v>0</v>
      </c>
      <c r="Q18" s="17"/>
      <c r="R18" s="13">
        <f>TimeToSeconds(Q18)</f>
        <v>0</v>
      </c>
      <c r="S18" s="2"/>
      <c r="T18" s="19">
        <f>R18+S18</f>
        <v>0</v>
      </c>
      <c r="U18" s="20">
        <f>P18+T18</f>
        <v>0</v>
      </c>
      <c r="V18" s="21">
        <f>RANK(U18,U:U,1)</f>
        <v>1</v>
      </c>
      <c r="W18" s="22">
        <f>K18+U18</f>
        <v>701.3</v>
      </c>
      <c r="X18" s="23">
        <f>RANK(W18,W:W,1)</f>
        <v>7</v>
      </c>
    </row>
    <row r="19" spans="1:24" ht="21.75" customHeight="1" x14ac:dyDescent="0.25">
      <c r="A19" s="26">
        <v>6</v>
      </c>
      <c r="B19" s="28" t="s">
        <v>41</v>
      </c>
      <c r="C19" s="3">
        <v>3.0185185185185189E-3</v>
      </c>
      <c r="D19" s="12">
        <f>TimeToSeconds(C19)</f>
        <v>260.8</v>
      </c>
      <c r="E19" s="2">
        <v>70</v>
      </c>
      <c r="F19" s="2">
        <f>D19+E19</f>
        <v>330.8</v>
      </c>
      <c r="G19" s="30">
        <v>1.5150462962962962E-3</v>
      </c>
      <c r="H19" s="29">
        <f>TimeToSeconds(G19)</f>
        <v>130.9</v>
      </c>
      <c r="I19" s="29">
        <v>240</v>
      </c>
      <c r="J19" s="29">
        <f>H19+I19</f>
        <v>370.9</v>
      </c>
      <c r="K19" s="14">
        <f>F19+J19</f>
        <v>701.7</v>
      </c>
      <c r="L19" s="15">
        <f>RANK(K19,K:K,1)</f>
        <v>8</v>
      </c>
      <c r="M19" s="4"/>
      <c r="N19" s="2">
        <f>TimeToSeconds(M19)</f>
        <v>0</v>
      </c>
      <c r="O19" s="2"/>
      <c r="P19" s="2">
        <f>N19+O19</f>
        <v>0</v>
      </c>
      <c r="Q19" s="17"/>
      <c r="R19" s="13">
        <f>TimeToSeconds(Q19)</f>
        <v>0</v>
      </c>
      <c r="S19" s="2"/>
      <c r="T19" s="19">
        <f>R19+S19</f>
        <v>0</v>
      </c>
      <c r="U19" s="20">
        <f>P19+T19</f>
        <v>0</v>
      </c>
      <c r="V19" s="21">
        <f>RANK(U19,U:U,1)</f>
        <v>1</v>
      </c>
      <c r="W19" s="22">
        <f>K19+U19</f>
        <v>701.7</v>
      </c>
      <c r="X19" s="23">
        <f>RANK(W19,W:W,1)</f>
        <v>8</v>
      </c>
    </row>
  </sheetData>
  <sortState ref="A12:X19">
    <sortCondition ref="L12:L19"/>
  </sortState>
  <mergeCells count="16">
    <mergeCell ref="V10:V11"/>
    <mergeCell ref="A1:X3"/>
    <mergeCell ref="A4:X8"/>
    <mergeCell ref="A9:A11"/>
    <mergeCell ref="B9:B11"/>
    <mergeCell ref="C9:L9"/>
    <mergeCell ref="M9:V9"/>
    <mergeCell ref="W9:W11"/>
    <mergeCell ref="X9:X11"/>
    <mergeCell ref="C10:F10"/>
    <mergeCell ref="G10:J10"/>
    <mergeCell ref="K10:K11"/>
    <mergeCell ref="L10:L11"/>
    <mergeCell ref="M10:P10"/>
    <mergeCell ref="Q10:T10"/>
    <mergeCell ref="U10:U1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Кубок</vt:lpstr>
      <vt:lpstr>Первенство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Шестаков Максим</dc:creator>
  <cp:lastModifiedBy>Шестаков Максим</cp:lastModifiedBy>
  <dcterms:created xsi:type="dcterms:W3CDTF">2024-10-30T11:38:54Z</dcterms:created>
  <dcterms:modified xsi:type="dcterms:W3CDTF">2024-11-02T13:40:23Z</dcterms:modified>
</cp:coreProperties>
</file>