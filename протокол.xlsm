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hestakov.m.CHUGUEV-PC\Desktop\вс\"/>
    </mc:Choice>
  </mc:AlternateContent>
  <bookViews>
    <workbookView xWindow="0" yWindow="0" windowWidth="28800" windowHeight="12300"/>
  </bookViews>
  <sheets>
    <sheet name="1400" sheetId="1" r:id="rId1"/>
    <sheet name="1600" sheetId="2" r:id="rId2"/>
    <sheet name="2000" sheetId="3" r:id="rId3"/>
  </sheets>
  <functionGroups builtInGroupCount="18"/>
  <definedNames>
    <definedName name="_xlnm._FilterDatabase" localSheetId="0" hidden="1">'1400'!$F$6:$F$16</definedName>
  </definedNames>
  <calcPr calcId="162913" fullPrecision="0"/>
</workbook>
</file>

<file path=xl/calcChain.xml><?xml version="1.0" encoding="utf-8"?>
<calcChain xmlns="http://schemas.openxmlformats.org/spreadsheetml/2006/main">
  <c r="R8" i="3" l="1"/>
  <c r="R9" i="3"/>
  <c r="R10" i="3"/>
  <c r="R11" i="3"/>
  <c r="R12" i="3"/>
  <c r="R13" i="3"/>
  <c r="R7" i="3"/>
  <c r="Q8" i="3"/>
  <c r="Q9" i="3"/>
  <c r="Q10" i="3"/>
  <c r="Q11" i="3"/>
  <c r="Q12" i="3"/>
  <c r="Q13" i="3"/>
  <c r="Q7" i="3"/>
  <c r="P8" i="3"/>
  <c r="P9" i="3"/>
  <c r="P10" i="3"/>
  <c r="P11" i="3"/>
  <c r="P12" i="3"/>
  <c r="P13" i="3"/>
  <c r="P7" i="3"/>
  <c r="K8" i="3"/>
  <c r="K9" i="3"/>
  <c r="K10" i="3"/>
  <c r="K11" i="3"/>
  <c r="K12" i="3"/>
  <c r="K13" i="3"/>
  <c r="K7" i="3"/>
  <c r="N8" i="3"/>
  <c r="N9" i="3"/>
  <c r="N10" i="3"/>
  <c r="N11" i="3"/>
  <c r="N12" i="3"/>
  <c r="N13" i="3"/>
  <c r="N7" i="3"/>
  <c r="I8" i="3"/>
  <c r="I9" i="3"/>
  <c r="I10" i="3"/>
  <c r="I11" i="3"/>
  <c r="I12" i="3"/>
  <c r="I13" i="3"/>
  <c r="I7" i="3"/>
  <c r="F8" i="3"/>
  <c r="F9" i="3"/>
  <c r="F10" i="3"/>
  <c r="F11" i="3"/>
  <c r="F12" i="3"/>
  <c r="F13" i="3"/>
  <c r="F7" i="3"/>
  <c r="D8" i="3"/>
  <c r="D9" i="3"/>
  <c r="D10" i="3"/>
  <c r="D11" i="3"/>
  <c r="D12" i="3"/>
  <c r="D13" i="3"/>
  <c r="D7" i="3"/>
  <c r="R8" i="2"/>
  <c r="R9" i="2"/>
  <c r="R10" i="2"/>
  <c r="R11" i="2"/>
  <c r="R12" i="2"/>
  <c r="R13" i="2"/>
  <c r="R14" i="2"/>
  <c r="R15" i="2"/>
  <c r="R16" i="2"/>
  <c r="R7" i="2"/>
  <c r="Q8" i="2"/>
  <c r="Q9" i="2"/>
  <c r="Q10" i="2"/>
  <c r="Q11" i="2"/>
  <c r="Q12" i="2"/>
  <c r="Q13" i="2"/>
  <c r="Q14" i="2"/>
  <c r="Q15" i="2"/>
  <c r="Q16" i="2"/>
  <c r="Q7" i="2"/>
  <c r="P8" i="2"/>
  <c r="P9" i="2"/>
  <c r="P10" i="2"/>
  <c r="P11" i="2"/>
  <c r="P12" i="2"/>
  <c r="P13" i="2"/>
  <c r="P14" i="2"/>
  <c r="P15" i="2"/>
  <c r="P16" i="2"/>
  <c r="P7" i="2"/>
  <c r="N8" i="2"/>
  <c r="N9" i="2"/>
  <c r="N10" i="2"/>
  <c r="N11" i="2"/>
  <c r="N12" i="2"/>
  <c r="N13" i="2"/>
  <c r="N14" i="2"/>
  <c r="N15" i="2"/>
  <c r="N16" i="2"/>
  <c r="N7" i="2"/>
  <c r="K8" i="2"/>
  <c r="K9" i="2"/>
  <c r="K10" i="2"/>
  <c r="K11" i="2"/>
  <c r="K12" i="2"/>
  <c r="K13" i="2"/>
  <c r="K14" i="2"/>
  <c r="K15" i="2"/>
  <c r="K16" i="2"/>
  <c r="K7" i="2"/>
  <c r="I8" i="2"/>
  <c r="I9" i="2"/>
  <c r="I10" i="2"/>
  <c r="I11" i="2"/>
  <c r="I12" i="2"/>
  <c r="I13" i="2"/>
  <c r="I14" i="2"/>
  <c r="I15" i="2"/>
  <c r="I16" i="2"/>
  <c r="I7" i="2"/>
  <c r="D8" i="2"/>
  <c r="D9" i="2"/>
  <c r="D10" i="2"/>
  <c r="D11" i="2"/>
  <c r="D12" i="2"/>
  <c r="D13" i="2"/>
  <c r="D14" i="2"/>
  <c r="D15" i="2"/>
  <c r="D16" i="2"/>
  <c r="D7" i="2"/>
  <c r="D7" i="1"/>
  <c r="O12" i="3"/>
  <c r="O13" i="3"/>
  <c r="O10" i="3"/>
  <c r="O9" i="3"/>
  <c r="O8" i="3"/>
  <c r="O11" i="3"/>
  <c r="O7" i="3"/>
  <c r="J12" i="3"/>
  <c r="J13" i="3"/>
  <c r="J9" i="3"/>
  <c r="J11" i="3"/>
  <c r="J8" i="3"/>
  <c r="J10" i="3"/>
  <c r="J7" i="3"/>
  <c r="E12" i="3"/>
  <c r="E13" i="3"/>
  <c r="E10" i="3"/>
  <c r="E11" i="3"/>
  <c r="E9" i="3"/>
  <c r="E8" i="3"/>
  <c r="E7" i="3"/>
  <c r="O8" i="2"/>
  <c r="O9" i="2"/>
  <c r="O11" i="2"/>
  <c r="O12" i="2"/>
  <c r="O13" i="2"/>
  <c r="O14" i="2"/>
  <c r="O15" i="2"/>
  <c r="O16" i="2"/>
  <c r="O10" i="2"/>
  <c r="O7" i="2"/>
  <c r="J12" i="2"/>
  <c r="J13" i="2"/>
  <c r="J14" i="2"/>
  <c r="J10" i="2"/>
  <c r="J15" i="2"/>
  <c r="J16" i="2"/>
  <c r="J9" i="2"/>
  <c r="J11" i="2"/>
  <c r="J8" i="2"/>
  <c r="J7" i="2"/>
  <c r="E7" i="2"/>
  <c r="E12" i="2"/>
  <c r="E13" i="2"/>
  <c r="E16" i="2"/>
  <c r="E9" i="2"/>
  <c r="E11" i="2"/>
  <c r="E14" i="2"/>
  <c r="E15" i="2"/>
  <c r="E10" i="2"/>
  <c r="E8" i="2"/>
  <c r="F9" i="2" l="1"/>
  <c r="F16" i="2"/>
  <c r="F10" i="2"/>
  <c r="F15" i="2"/>
  <c r="F11" i="2"/>
  <c r="F12" i="2"/>
  <c r="F13" i="2"/>
  <c r="F7" i="2"/>
  <c r="F8" i="2"/>
  <c r="F14" i="2"/>
  <c r="N8" i="1"/>
  <c r="N9" i="1"/>
  <c r="N10" i="1"/>
  <c r="N11" i="1"/>
  <c r="N12" i="1"/>
  <c r="N13" i="1"/>
  <c r="N14" i="1"/>
  <c r="N15" i="1"/>
  <c r="N16" i="1"/>
  <c r="N7" i="1"/>
  <c r="I8" i="1"/>
  <c r="I9" i="1"/>
  <c r="I10" i="1"/>
  <c r="I11" i="1"/>
  <c r="I12" i="1"/>
  <c r="I13" i="1"/>
  <c r="I14" i="1"/>
  <c r="I15" i="1"/>
  <c r="I16" i="1"/>
  <c r="I7" i="1"/>
  <c r="J13" i="1"/>
  <c r="J8" i="1"/>
  <c r="J7" i="1"/>
  <c r="O12" i="1"/>
  <c r="J15" i="1"/>
  <c r="J16" i="1"/>
  <c r="O8" i="1"/>
  <c r="O13" i="1"/>
  <c r="O16" i="1"/>
  <c r="J9" i="1"/>
  <c r="J11" i="1"/>
  <c r="O9" i="1"/>
  <c r="J10" i="1"/>
  <c r="J14" i="1"/>
  <c r="O14" i="1"/>
  <c r="O15" i="1"/>
  <c r="O11" i="1"/>
  <c r="J12" i="1"/>
  <c r="O10" i="1"/>
  <c r="O7" i="1"/>
  <c r="P9" i="1" l="1"/>
  <c r="P10" i="1"/>
  <c r="P12" i="1"/>
  <c r="P7" i="1"/>
  <c r="P11" i="1"/>
  <c r="P16" i="1"/>
  <c r="P13" i="1"/>
  <c r="P8" i="1"/>
  <c r="P15" i="1"/>
  <c r="P14" i="1"/>
  <c r="K12" i="1"/>
  <c r="K13" i="1"/>
  <c r="K14" i="1"/>
  <c r="K15" i="1"/>
  <c r="K16" i="1"/>
  <c r="K10" i="1"/>
  <c r="K11" i="1"/>
  <c r="K7" i="1"/>
  <c r="K8" i="1"/>
  <c r="K9" i="1"/>
  <c r="D9" i="1"/>
  <c r="E9" i="1"/>
  <c r="Q9" i="1" l="1"/>
  <c r="D10" i="1"/>
  <c r="E10" i="1"/>
  <c r="Q10" i="1" l="1"/>
  <c r="D16" i="1"/>
  <c r="D15" i="1"/>
  <c r="D14" i="1"/>
  <c r="D13" i="1"/>
  <c r="D12" i="1"/>
  <c r="D11" i="1"/>
  <c r="D8" i="1"/>
  <c r="E7" i="1"/>
  <c r="E16" i="1"/>
  <c r="E8" i="1"/>
  <c r="E15" i="1"/>
  <c r="E14" i="1"/>
  <c r="E13" i="1"/>
  <c r="E11" i="1"/>
  <c r="E12" i="1"/>
  <c r="Q14" i="1" l="1"/>
  <c r="Q11" i="1"/>
  <c r="Q13" i="1"/>
  <c r="Q15" i="1"/>
  <c r="Q8" i="1"/>
  <c r="Q16" i="1"/>
  <c r="Q7" i="1"/>
  <c r="Q12" i="1"/>
  <c r="F15" i="1"/>
  <c r="F12" i="1"/>
  <c r="F13" i="1"/>
  <c r="F11" i="1"/>
  <c r="F9" i="1"/>
  <c r="F10" i="1"/>
  <c r="F16" i="1"/>
  <c r="F7" i="1"/>
  <c r="F8" i="1"/>
  <c r="F14" i="1"/>
  <c r="R10" i="1" l="1"/>
  <c r="R8" i="1"/>
  <c r="R12" i="1"/>
  <c r="R7" i="1"/>
  <c r="R9" i="1"/>
  <c r="R16" i="1"/>
  <c r="R15" i="1"/>
  <c r="R13" i="1"/>
  <c r="R11" i="1"/>
  <c r="R14" i="1"/>
</calcChain>
</file>

<file path=xl/sharedStrings.xml><?xml version="1.0" encoding="utf-8"?>
<sst xmlns="http://schemas.openxmlformats.org/spreadsheetml/2006/main" count="72" uniqueCount="17">
  <si>
    <t>ОБЩЕРОССИЙСКАЯ ОБЩЕСТВЕННАЯ ОРГАНИЗАЦИЯ АВТОМОБИЛЬНОГО СПОРТА «РОССИЙСКАЯ АВТОМОБИЛЬНАЯ ФЕДЕРАЦИЯ»
ГБУ РС(Я) «УПРАВЛЕНИЯ ФИЗИЧЕСКОЙ КУЛЬТУРЫ И МАССОВОГО СПОРТА РС(Я)»
ОБЩЕСТВЕННАЯ ОРГАНИЗАЦИЯ «ФЕДЕРАЦИЯ АВТОМОБИЛЬНОГО СПОРТА И МОТОЦИКЛЕТНОГО СПОРТА РЕСПУБЛИКИ САХА (ЯКУТИЯ)»
КОМИТЕТ АВТОМНОГОБОРЬЯ И АВТОКРОССА</t>
  </si>
  <si>
    <t>Официальное соревнование код ВРВС 1660051811Я
Город Якутск
КУБОК ГО ЯКУТСКА ПО РАЛЛИ СПРИНТУ
ОБЩИЙ ПРОТОКОЛ РЕЗУЛЬТАТОВ ЗАЧЁТ «Ралли – спринт 1400»</t>
  </si>
  <si>
    <t>Стартовый номер</t>
  </si>
  <si>
    <t>1 ЗАЕЗД</t>
  </si>
  <si>
    <t>2 ЗАЕЗД</t>
  </si>
  <si>
    <t>3 ЗАЕЗД</t>
  </si>
  <si>
    <t>Сумма очков</t>
  </si>
  <si>
    <t>Место</t>
  </si>
  <si>
    <t>Время первого круга</t>
  </si>
  <si>
    <t>Время второго круга</t>
  </si>
  <si>
    <t>Лучшее время</t>
  </si>
  <si>
    <t>Количество очков</t>
  </si>
  <si>
    <t>Место (регруппинг)</t>
  </si>
  <si>
    <t>Главный судья                                                                           Фролов Никита СС2К</t>
  </si>
  <si>
    <t>Официальное соревнование код ВРВС 1660051811Я
Город Якутск
КУБОК ГО ЯКУТСКА ПО РАЛЛИ СПРИНТУ
ОБЩИЙ ПРОТОКОЛ РЕЗУЛЬТАТОВ ЗАЧЁТ «Ралли – спринт 1600»</t>
  </si>
  <si>
    <t>Официальное соревнование код ВРВС 1660051811Я
Город Якутск
КУБОК ГО ЯКУТСКА ПО РАЛЛИ СПРИНТУ
ОБЩИЙ ПРОТОКОЛ РЕЗУЛЬТАТОВ ЗАЧЁТ «Ралли – спринт 2000»</t>
  </si>
  <si>
    <t>Главный судья                              Фролов Никита СС2К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</si>
</sst>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[$-F400]h:mm:ss\ AM/PM"/>
    <numFmt numFmtId="166" formatCode="mm:ss.0;@"/>
  </numFmts>
  <fonts count="17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onstantia"/>
      <family val="1"/>
      <charset val="204"/>
    </font>
    <font>
      <sz val="11"/>
      <name val="Calibri"/>
      <family val="2"/>
      <charset val="204"/>
    </font>
    <font>
      <sz val="11"/>
      <color theme="1"/>
      <name val="Times New Roman"/>
      <family val="1"/>
      <charset val="204"/>
    </font>
    <font>
      <sz val="9"/>
      <color theme="1"/>
      <name val="Bahnschrift SemiBold"/>
      <family val="2"/>
      <charset val="204"/>
    </font>
    <font>
      <sz val="11"/>
      <color theme="1"/>
      <name val="Bahnschrift SemiBold"/>
      <family val="2"/>
      <charset val="204"/>
    </font>
    <font>
      <sz val="10"/>
      <color theme="1"/>
      <name val="Bahnschrift SemiBold"/>
      <family val="2"/>
      <charset val="204"/>
    </font>
    <font>
      <b/>
      <sz val="8"/>
      <color theme="1"/>
      <name val="Bahnschrift SemiBold"/>
      <family val="2"/>
      <charset val="204"/>
    </font>
    <font>
      <sz val="11"/>
      <color theme="1"/>
      <name val="Arial"/>
      <family val="2"/>
      <charset val="204"/>
    </font>
    <font>
      <b/>
      <sz val="12"/>
      <color rgb="FF434343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sz val="12"/>
      <color rgb="FF000000"/>
      <name val="Times New Roman"/>
      <family val="1"/>
      <charset val="204"/>
    </font>
    <font>
      <sz val="12"/>
      <color theme="1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rgb="FF333333"/>
      <name val="Inconsolata"/>
      <family val="3"/>
    </font>
    <font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theme="7" tint="0.59999389629810485"/>
        <bgColor rgb="FFF4CCCC"/>
      </patternFill>
    </fill>
    <fill>
      <patternFill patternType="solid">
        <fgColor theme="9" tint="0.59999389629810485"/>
        <bgColor rgb="FFF4CCCC"/>
      </patternFill>
    </fill>
    <fill>
      <patternFill patternType="solid">
        <fgColor theme="5" tint="0.59999389629810485"/>
        <bgColor rgb="FFF4CCCC"/>
      </patternFill>
    </fill>
  </fills>
  <borders count="12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8" fillId="2" borderId="8" xfId="0" applyFont="1" applyFill="1" applyBorder="1" applyAlignment="1">
      <alignment horizontal="center" wrapText="1"/>
    </xf>
    <xf numFmtId="0" fontId="8" fillId="2" borderId="8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6" fillId="2" borderId="8" xfId="0" applyFont="1" applyFill="1" applyBorder="1" applyAlignment="1">
      <alignment horizontal="center" vertical="center"/>
    </xf>
    <xf numFmtId="0" fontId="6" fillId="0" borderId="0" xfId="0" applyFont="1"/>
    <xf numFmtId="22" fontId="0" fillId="0" borderId="0" xfId="0" applyNumberFormat="1" applyFont="1" applyAlignment="1"/>
    <xf numFmtId="165" fontId="0" fillId="0" borderId="0" xfId="0" applyNumberFormat="1" applyFont="1" applyAlignment="1"/>
    <xf numFmtId="0" fontId="1" fillId="0" borderId="0" xfId="0" applyFont="1" applyAlignment="1">
      <alignment horizontal="left"/>
    </xf>
    <xf numFmtId="0" fontId="0" fillId="0" borderId="0" xfId="0" applyNumberFormat="1" applyFont="1" applyAlignment="1"/>
    <xf numFmtId="2" fontId="0" fillId="0" borderId="0" xfId="0" applyNumberFormat="1" applyFont="1" applyAlignment="1"/>
    <xf numFmtId="0" fontId="15" fillId="0" borderId="0" xfId="0" applyFont="1" applyAlignment="1">
      <alignment vertical="center"/>
    </xf>
    <xf numFmtId="164" fontId="11" fillId="0" borderId="8" xfId="0" applyNumberFormat="1" applyFont="1" applyBorder="1" applyAlignment="1">
      <alignment horizontal="center" vertical="center"/>
    </xf>
    <xf numFmtId="0" fontId="0" fillId="0" borderId="0" xfId="0" applyFont="1" applyAlignment="1"/>
    <xf numFmtId="47" fontId="11" fillId="0" borderId="8" xfId="0" applyNumberFormat="1" applyFont="1" applyBorder="1" applyAlignment="1">
      <alignment horizontal="center" vertical="center"/>
    </xf>
    <xf numFmtId="47" fontId="11" fillId="0" borderId="6" xfId="0" applyNumberFormat="1" applyFont="1" applyBorder="1" applyAlignment="1" applyProtection="1">
      <alignment horizontal="center" vertical="center"/>
    </xf>
    <xf numFmtId="47" fontId="11" fillId="0" borderId="8" xfId="0" quotePrefix="1" applyNumberFormat="1" applyFont="1" applyBorder="1" applyAlignment="1">
      <alignment horizontal="center" vertical="center"/>
    </xf>
    <xf numFmtId="47" fontId="11" fillId="0" borderId="8" xfId="0" applyNumberFormat="1" applyFont="1" applyBorder="1" applyAlignment="1" applyProtection="1">
      <alignment horizontal="center" vertical="center"/>
    </xf>
    <xf numFmtId="47" fontId="11" fillId="0" borderId="6" xfId="0" applyNumberFormat="1" applyFont="1" applyBorder="1" applyAlignment="1">
      <alignment horizontal="center" vertical="center"/>
    </xf>
    <xf numFmtId="164" fontId="0" fillId="0" borderId="0" xfId="0" applyNumberFormat="1" applyFont="1" applyAlignment="1"/>
    <xf numFmtId="166" fontId="11" fillId="0" borderId="8" xfId="0" applyNumberFormat="1" applyFont="1" applyBorder="1" applyAlignment="1">
      <alignment horizontal="center" vertical="center"/>
    </xf>
    <xf numFmtId="166" fontId="11" fillId="0" borderId="11" xfId="0" applyNumberFormat="1" applyFont="1" applyBorder="1" applyAlignment="1">
      <alignment horizontal="center" vertical="center"/>
    </xf>
    <xf numFmtId="164" fontId="11" fillId="0" borderId="11" xfId="0" applyNumberFormat="1" applyFont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166" fontId="11" fillId="0" borderId="6" xfId="0" applyNumberFormat="1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3" fillId="0" borderId="5" xfId="0" applyFont="1" applyBorder="1"/>
    <xf numFmtId="0" fontId="3" fillId="0" borderId="6" xfId="0" applyFont="1" applyBorder="1"/>
    <xf numFmtId="0" fontId="14" fillId="0" borderId="0" xfId="0" applyFont="1" applyAlignment="1">
      <alignment horizontal="left" vertical="center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0" borderId="0" xfId="0" applyFont="1" applyAlignment="1"/>
    <xf numFmtId="0" fontId="3" fillId="0" borderId="1" xfId="0" applyFont="1" applyBorder="1"/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/>
    <xf numFmtId="0" fontId="5" fillId="2" borderId="3" xfId="0" applyFont="1" applyFill="1" applyBorder="1" applyAlignment="1">
      <alignment horizontal="center" vertical="center" wrapText="1"/>
    </xf>
    <xf numFmtId="0" fontId="3" fillId="0" borderId="7" xfId="0" applyFont="1" applyBorder="1"/>
    <xf numFmtId="0" fontId="7" fillId="0" borderId="3" xfId="0" applyFont="1" applyBorder="1" applyAlignment="1">
      <alignment horizontal="center" vertical="center" wrapText="1"/>
    </xf>
    <xf numFmtId="0" fontId="3" fillId="0" borderId="9" xfId="0" applyFont="1" applyBorder="1"/>
    <xf numFmtId="0" fontId="6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1000"/>
  <sheetViews>
    <sheetView tabSelected="1" zoomScaleNormal="100" workbookViewId="0">
      <selection activeCell="R16" sqref="R16"/>
    </sheetView>
  </sheetViews>
  <sheetFormatPr defaultColWidth="14.42578125" defaultRowHeight="15" customHeight="1"/>
  <cols>
    <col min="1" max="1" width="8.7109375" customWidth="1"/>
    <col min="2" max="2" width="10.28515625" customWidth="1"/>
    <col min="3" max="3" width="8.7109375" customWidth="1"/>
    <col min="4" max="4" width="10.7109375" customWidth="1"/>
    <col min="5" max="5" width="10.85546875" customWidth="1"/>
    <col min="6" max="6" width="14" customWidth="1"/>
    <col min="7" max="9" width="8.7109375" customWidth="1"/>
    <col min="10" max="10" width="11.42578125" customWidth="1"/>
    <col min="11" max="11" width="13.42578125" customWidth="1"/>
    <col min="12" max="14" width="8.7109375" customWidth="1"/>
    <col min="15" max="15" width="10.140625" customWidth="1"/>
    <col min="16" max="16" width="13.28515625" customWidth="1"/>
    <col min="17" max="17" width="13.42578125" customWidth="1"/>
    <col min="18" max="18" width="11.42578125" customWidth="1"/>
    <col min="19" max="26" width="8.7109375" customWidth="1"/>
  </cols>
  <sheetData>
    <row r="1" spans="1:18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</row>
    <row r="2" spans="1:18" ht="15" customHeight="1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</row>
    <row r="3" spans="1:18" ht="39.75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1:18" ht="60.75" customHeight="1">
      <c r="A4" s="39" t="s">
        <v>1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</row>
    <row r="5" spans="1:18" ht="24.75" customHeight="1">
      <c r="A5" s="41" t="s">
        <v>2</v>
      </c>
      <c r="B5" s="31" t="s">
        <v>3</v>
      </c>
      <c r="C5" s="32"/>
      <c r="D5" s="32"/>
      <c r="E5" s="32"/>
      <c r="F5" s="33"/>
      <c r="G5" s="31" t="s">
        <v>4</v>
      </c>
      <c r="H5" s="32"/>
      <c r="I5" s="32"/>
      <c r="J5" s="32"/>
      <c r="K5" s="33"/>
      <c r="L5" s="31" t="s">
        <v>5</v>
      </c>
      <c r="M5" s="32"/>
      <c r="N5" s="32"/>
      <c r="O5" s="32"/>
      <c r="P5" s="33"/>
      <c r="Q5" s="43" t="s">
        <v>6</v>
      </c>
      <c r="R5" s="45" t="s">
        <v>7</v>
      </c>
    </row>
    <row r="6" spans="1:18" ht="33">
      <c r="A6" s="42"/>
      <c r="B6" s="1" t="s">
        <v>8</v>
      </c>
      <c r="C6" s="2" t="s">
        <v>9</v>
      </c>
      <c r="D6" s="2" t="s">
        <v>10</v>
      </c>
      <c r="E6" s="2" t="s">
        <v>11</v>
      </c>
      <c r="F6" s="3" t="s">
        <v>12</v>
      </c>
      <c r="G6" s="1" t="s">
        <v>8</v>
      </c>
      <c r="H6" s="2" t="s">
        <v>9</v>
      </c>
      <c r="I6" s="2" t="s">
        <v>10</v>
      </c>
      <c r="J6" s="2" t="s">
        <v>11</v>
      </c>
      <c r="K6" s="3" t="s">
        <v>12</v>
      </c>
      <c r="L6" s="1" t="s">
        <v>8</v>
      </c>
      <c r="M6" s="2" t="s">
        <v>9</v>
      </c>
      <c r="N6" s="2" t="s">
        <v>10</v>
      </c>
      <c r="O6" s="2" t="s">
        <v>11</v>
      </c>
      <c r="P6" s="3" t="s">
        <v>12</v>
      </c>
      <c r="Q6" s="44"/>
      <c r="R6" s="44"/>
    </row>
    <row r="7" spans="1:18" ht="19.5" customHeight="1">
      <c r="A7" s="4">
        <v>71</v>
      </c>
      <c r="B7" s="18">
        <v>1.7893518518518499E-3</v>
      </c>
      <c r="C7" s="19">
        <v>1.57986111111111E-3</v>
      </c>
      <c r="D7" s="20">
        <f>MIN(B7,C7)</f>
        <v>1.57986111111111E-3</v>
      </c>
      <c r="E7" s="15">
        <f t="shared" ref="E7:E16" si="0">TimeToSeconds(D7)</f>
        <v>136.5</v>
      </c>
      <c r="F7" s="49">
        <f t="shared" ref="F7:F16" si="1">RANK(E7,E:E,1)</f>
        <v>6</v>
      </c>
      <c r="G7" s="23"/>
      <c r="H7" s="23"/>
      <c r="I7" s="23">
        <f>MIN(G7:H7)</f>
        <v>0</v>
      </c>
      <c r="J7" s="15">
        <f>TimeToSeconds(I7)</f>
        <v>0</v>
      </c>
      <c r="K7" s="49">
        <f t="shared" ref="K7:K16" si="2">RANK(J7,J:J,1)</f>
        <v>1</v>
      </c>
      <c r="L7" s="23"/>
      <c r="M7" s="23"/>
      <c r="N7" s="23">
        <f>MIN(L7:M7)</f>
        <v>0</v>
      </c>
      <c r="O7" s="15">
        <f>TimeToSeconds(N7)</f>
        <v>0</v>
      </c>
      <c r="P7" s="49">
        <f t="shared" ref="P7:P16" si="3">RANK(O7,O:O,1)</f>
        <v>1</v>
      </c>
      <c r="Q7" s="15">
        <f>E7+J7+O7</f>
        <v>136.5</v>
      </c>
      <c r="R7" s="49">
        <f t="shared" ref="R7:R16" si="4">RANK(Q7,Q:Q,1)</f>
        <v>5</v>
      </c>
    </row>
    <row r="8" spans="1:18" ht="19.5" customHeight="1">
      <c r="A8" s="4">
        <v>55</v>
      </c>
      <c r="B8" s="21">
        <v>1.5717592592592599E-3</v>
      </c>
      <c r="C8" s="17">
        <v>1.7581018518518501E-3</v>
      </c>
      <c r="D8" s="17">
        <f t="shared" ref="D8:D16" si="5">MIN(B8,C8)</f>
        <v>1.5717592592592599E-3</v>
      </c>
      <c r="E8" s="15">
        <f t="shared" si="0"/>
        <v>135.80000000000001</v>
      </c>
      <c r="F8" s="49">
        <f t="shared" si="1"/>
        <v>5</v>
      </c>
      <c r="G8" s="23"/>
      <c r="H8" s="23"/>
      <c r="I8" s="23">
        <f t="shared" ref="I8:I16" si="6">MIN(G8:H8)</f>
        <v>0</v>
      </c>
      <c r="J8" s="15">
        <f t="shared" ref="J8:J16" si="7">TimeToSeconds(I8)</f>
        <v>0</v>
      </c>
      <c r="K8" s="49">
        <f t="shared" si="2"/>
        <v>1</v>
      </c>
      <c r="L8" s="23"/>
      <c r="M8" s="23"/>
      <c r="N8" s="23">
        <f t="shared" ref="N8:N16" si="8">MIN(L8:M8)</f>
        <v>0</v>
      </c>
      <c r="O8" s="15">
        <f t="shared" ref="O8:O16" si="9">TimeToSeconds(N8)</f>
        <v>0</v>
      </c>
      <c r="P8" s="49">
        <f t="shared" si="3"/>
        <v>1</v>
      </c>
      <c r="Q8" s="15">
        <f t="shared" ref="Q8:Q16" si="10">E8+J8+O8</f>
        <v>135.80000000000001</v>
      </c>
      <c r="R8" s="49">
        <f t="shared" si="4"/>
        <v>4</v>
      </c>
    </row>
    <row r="9" spans="1:18" ht="19.5" customHeight="1">
      <c r="A9" s="4">
        <v>77</v>
      </c>
      <c r="B9" s="21">
        <v>1.68518518518519E-3</v>
      </c>
      <c r="C9" s="17">
        <v>1.7546296296296301E-3</v>
      </c>
      <c r="D9" s="17">
        <f t="shared" si="5"/>
        <v>1.68518518518519E-3</v>
      </c>
      <c r="E9" s="15">
        <f t="shared" si="0"/>
        <v>145.6</v>
      </c>
      <c r="F9" s="49">
        <f t="shared" si="1"/>
        <v>8</v>
      </c>
      <c r="G9" s="23"/>
      <c r="H9" s="23"/>
      <c r="I9" s="23">
        <f t="shared" si="6"/>
        <v>0</v>
      </c>
      <c r="J9" s="15">
        <f t="shared" si="7"/>
        <v>0</v>
      </c>
      <c r="K9" s="49">
        <f t="shared" si="2"/>
        <v>1</v>
      </c>
      <c r="L9" s="23"/>
      <c r="M9" s="23"/>
      <c r="N9" s="23">
        <f t="shared" si="8"/>
        <v>0</v>
      </c>
      <c r="O9" s="15">
        <f t="shared" si="9"/>
        <v>0</v>
      </c>
      <c r="P9" s="49">
        <f t="shared" si="3"/>
        <v>1</v>
      </c>
      <c r="Q9" s="15">
        <f t="shared" si="10"/>
        <v>145.6</v>
      </c>
      <c r="R9" s="49">
        <f t="shared" si="4"/>
        <v>6</v>
      </c>
    </row>
    <row r="10" spans="1:18" ht="19.5" customHeight="1">
      <c r="A10" s="5">
        <v>8</v>
      </c>
      <c r="B10" s="21">
        <v>1.63310185185185E-3</v>
      </c>
      <c r="C10" s="17">
        <v>1.75115740740741E-3</v>
      </c>
      <c r="D10" s="17">
        <f t="shared" si="5"/>
        <v>1.63310185185185E-3</v>
      </c>
      <c r="E10" s="15">
        <f t="shared" si="0"/>
        <v>141.1</v>
      </c>
      <c r="F10" s="49">
        <f t="shared" si="1"/>
        <v>7</v>
      </c>
      <c r="G10" s="23">
        <v>1.8645833333333301E-3</v>
      </c>
      <c r="H10" s="23">
        <v>1.52546296296296E-3</v>
      </c>
      <c r="I10" s="23">
        <f t="shared" si="6"/>
        <v>1.52546296296296E-3</v>
      </c>
      <c r="J10" s="15">
        <f t="shared" si="7"/>
        <v>131.80000000000001</v>
      </c>
      <c r="K10" s="49">
        <f t="shared" si="2"/>
        <v>10</v>
      </c>
      <c r="L10" s="23"/>
      <c r="M10" s="23"/>
      <c r="N10" s="23">
        <f t="shared" si="8"/>
        <v>0</v>
      </c>
      <c r="O10" s="15">
        <f t="shared" si="9"/>
        <v>0</v>
      </c>
      <c r="P10" s="49">
        <f t="shared" si="3"/>
        <v>1</v>
      </c>
      <c r="Q10" s="15">
        <f t="shared" si="10"/>
        <v>272.89999999999998</v>
      </c>
      <c r="R10" s="49">
        <f t="shared" si="4"/>
        <v>9</v>
      </c>
    </row>
    <row r="11" spans="1:18" ht="19.5" customHeight="1">
      <c r="A11" s="5">
        <v>3</v>
      </c>
      <c r="B11" s="21">
        <v>1.49421296296296E-3</v>
      </c>
      <c r="C11" s="17">
        <v>1.74768518518519E-3</v>
      </c>
      <c r="D11" s="17">
        <f t="shared" si="5"/>
        <v>1.49421296296296E-3</v>
      </c>
      <c r="E11" s="15">
        <f t="shared" si="0"/>
        <v>129.1</v>
      </c>
      <c r="F11" s="49">
        <f t="shared" si="1"/>
        <v>4</v>
      </c>
      <c r="G11" s="21">
        <v>1.4247685185185201E-3</v>
      </c>
      <c r="H11" s="19">
        <v>1.57986111111111E-3</v>
      </c>
      <c r="I11" s="23">
        <f t="shared" si="6"/>
        <v>1.4247685185185201E-3</v>
      </c>
      <c r="J11" s="15">
        <f t="shared" si="7"/>
        <v>123.1</v>
      </c>
      <c r="K11" s="49">
        <f t="shared" si="2"/>
        <v>9</v>
      </c>
      <c r="L11" s="17">
        <v>1.7546296296296301E-3</v>
      </c>
      <c r="M11" s="21">
        <v>1.63310185185185E-3</v>
      </c>
      <c r="N11" s="23">
        <f t="shared" si="8"/>
        <v>1.63310185185185E-3</v>
      </c>
      <c r="O11" s="15">
        <f t="shared" si="9"/>
        <v>141.1</v>
      </c>
      <c r="P11" s="49">
        <f t="shared" si="3"/>
        <v>10</v>
      </c>
      <c r="Q11" s="15">
        <f t="shared" si="10"/>
        <v>393.3</v>
      </c>
      <c r="R11" s="49">
        <f t="shared" si="4"/>
        <v>10</v>
      </c>
    </row>
    <row r="12" spans="1:18" ht="19.5" customHeight="1">
      <c r="A12" s="5">
        <v>70</v>
      </c>
      <c r="B12" s="21">
        <v>1.38425925925926E-3</v>
      </c>
      <c r="C12" s="17">
        <v>1.74421296296296E-3</v>
      </c>
      <c r="D12" s="17">
        <f t="shared" si="5"/>
        <v>1.38425925925926E-3</v>
      </c>
      <c r="E12" s="15">
        <f t="shared" si="0"/>
        <v>119.6</v>
      </c>
      <c r="F12" s="49">
        <f t="shared" si="1"/>
        <v>1</v>
      </c>
      <c r="G12" s="23"/>
      <c r="H12" s="23"/>
      <c r="I12" s="23">
        <f t="shared" si="6"/>
        <v>0</v>
      </c>
      <c r="J12" s="15">
        <f t="shared" si="7"/>
        <v>0</v>
      </c>
      <c r="K12" s="49">
        <f t="shared" si="2"/>
        <v>1</v>
      </c>
      <c r="L12" s="23"/>
      <c r="M12" s="23"/>
      <c r="N12" s="23">
        <f t="shared" si="8"/>
        <v>0</v>
      </c>
      <c r="O12" s="15">
        <f t="shared" si="9"/>
        <v>0</v>
      </c>
      <c r="P12" s="49">
        <f t="shared" si="3"/>
        <v>1</v>
      </c>
      <c r="Q12" s="15">
        <f t="shared" si="10"/>
        <v>119.6</v>
      </c>
      <c r="R12" s="49">
        <f t="shared" si="4"/>
        <v>1</v>
      </c>
    </row>
    <row r="13" spans="1:18" ht="19.5" customHeight="1">
      <c r="A13" s="5">
        <v>31</v>
      </c>
      <c r="B13" s="21">
        <v>2.15509259259259E-3</v>
      </c>
      <c r="C13" s="17">
        <v>1.74074074074074E-3</v>
      </c>
      <c r="D13" s="17">
        <f t="shared" si="5"/>
        <v>1.74074074074074E-3</v>
      </c>
      <c r="E13" s="15">
        <f t="shared" si="0"/>
        <v>150.4</v>
      </c>
      <c r="F13" s="49">
        <f t="shared" si="1"/>
        <v>10</v>
      </c>
      <c r="G13" s="23"/>
      <c r="H13" s="23"/>
      <c r="I13" s="23">
        <f t="shared" si="6"/>
        <v>0</v>
      </c>
      <c r="J13" s="15">
        <f t="shared" si="7"/>
        <v>0</v>
      </c>
      <c r="K13" s="49">
        <f t="shared" si="2"/>
        <v>1</v>
      </c>
      <c r="L13" s="23"/>
      <c r="M13" s="23"/>
      <c r="N13" s="23">
        <f t="shared" si="8"/>
        <v>0</v>
      </c>
      <c r="O13" s="15">
        <f t="shared" si="9"/>
        <v>0</v>
      </c>
      <c r="P13" s="49">
        <f t="shared" si="3"/>
        <v>1</v>
      </c>
      <c r="Q13" s="15">
        <f t="shared" si="10"/>
        <v>150.4</v>
      </c>
      <c r="R13" s="49">
        <f t="shared" si="4"/>
        <v>8</v>
      </c>
    </row>
    <row r="14" spans="1:18" ht="19.5" customHeight="1">
      <c r="A14" s="5">
        <v>10</v>
      </c>
      <c r="B14" s="21">
        <v>1.4247685185185201E-3</v>
      </c>
      <c r="C14" s="17">
        <v>1.7372685185185199E-3</v>
      </c>
      <c r="D14" s="17">
        <f t="shared" si="5"/>
        <v>1.4247685185185201E-3</v>
      </c>
      <c r="E14" s="15">
        <f t="shared" si="0"/>
        <v>123.1</v>
      </c>
      <c r="F14" s="49">
        <f t="shared" si="1"/>
        <v>3</v>
      </c>
      <c r="G14" s="23"/>
      <c r="H14" s="23"/>
      <c r="I14" s="23">
        <f t="shared" si="6"/>
        <v>0</v>
      </c>
      <c r="J14" s="15">
        <f t="shared" si="7"/>
        <v>0</v>
      </c>
      <c r="K14" s="49">
        <f t="shared" si="2"/>
        <v>1</v>
      </c>
      <c r="L14" s="23"/>
      <c r="M14" s="23"/>
      <c r="N14" s="23">
        <f t="shared" si="8"/>
        <v>0</v>
      </c>
      <c r="O14" s="15">
        <f t="shared" si="9"/>
        <v>0</v>
      </c>
      <c r="P14" s="49">
        <f t="shared" si="3"/>
        <v>1</v>
      </c>
      <c r="Q14" s="15">
        <f t="shared" si="10"/>
        <v>123.1</v>
      </c>
      <c r="R14" s="49">
        <f t="shared" si="4"/>
        <v>3</v>
      </c>
    </row>
    <row r="15" spans="1:18" ht="19.5" customHeight="1">
      <c r="A15" s="5">
        <v>61</v>
      </c>
      <c r="B15" s="21">
        <v>1.74189814814815E-3</v>
      </c>
      <c r="C15" s="17">
        <v>1.7337962962962999E-3</v>
      </c>
      <c r="D15" s="17">
        <f t="shared" si="5"/>
        <v>1.7337962962962999E-3</v>
      </c>
      <c r="E15" s="15">
        <f t="shared" si="0"/>
        <v>149.80000000000001</v>
      </c>
      <c r="F15" s="49">
        <f t="shared" si="1"/>
        <v>9</v>
      </c>
      <c r="G15" s="23"/>
      <c r="H15" s="23"/>
      <c r="I15" s="23">
        <f t="shared" si="6"/>
        <v>0</v>
      </c>
      <c r="J15" s="15">
        <f t="shared" si="7"/>
        <v>0</v>
      </c>
      <c r="K15" s="49">
        <f t="shared" si="2"/>
        <v>1</v>
      </c>
      <c r="L15" s="23"/>
      <c r="M15" s="23"/>
      <c r="N15" s="23">
        <f t="shared" si="8"/>
        <v>0</v>
      </c>
      <c r="O15" s="15">
        <f t="shared" si="9"/>
        <v>0</v>
      </c>
      <c r="P15" s="49">
        <f t="shared" si="3"/>
        <v>1</v>
      </c>
      <c r="Q15" s="15">
        <f t="shared" si="10"/>
        <v>149.80000000000001</v>
      </c>
      <c r="R15" s="49">
        <f t="shared" si="4"/>
        <v>7</v>
      </c>
    </row>
    <row r="16" spans="1:18" ht="19.5" customHeight="1">
      <c r="A16" s="5">
        <v>15</v>
      </c>
      <c r="B16" s="21">
        <v>1.49421296296296E-3</v>
      </c>
      <c r="C16" s="17">
        <v>1.41087962962963E-3</v>
      </c>
      <c r="D16" s="17">
        <f t="shared" si="5"/>
        <v>1.41087962962963E-3</v>
      </c>
      <c r="E16" s="15">
        <f t="shared" si="0"/>
        <v>121.9</v>
      </c>
      <c r="F16" s="49">
        <f t="shared" si="1"/>
        <v>2</v>
      </c>
      <c r="G16" s="24"/>
      <c r="H16" s="24"/>
      <c r="I16" s="24">
        <f t="shared" si="6"/>
        <v>0</v>
      </c>
      <c r="J16" s="25">
        <f t="shared" si="7"/>
        <v>0</v>
      </c>
      <c r="K16" s="50">
        <f t="shared" si="2"/>
        <v>1</v>
      </c>
      <c r="L16" s="24"/>
      <c r="M16" s="24"/>
      <c r="N16" s="24">
        <f t="shared" si="8"/>
        <v>0</v>
      </c>
      <c r="O16" s="25">
        <f t="shared" si="9"/>
        <v>0</v>
      </c>
      <c r="P16" s="50">
        <f t="shared" si="3"/>
        <v>1</v>
      </c>
      <c r="Q16" s="25">
        <f t="shared" si="10"/>
        <v>121.9</v>
      </c>
      <c r="R16" s="50">
        <f t="shared" si="4"/>
        <v>2</v>
      </c>
    </row>
    <row r="18" spans="1:16" ht="15" customHeight="1">
      <c r="A18" s="34" t="s">
        <v>16</v>
      </c>
      <c r="B18" s="35"/>
      <c r="C18" s="35"/>
      <c r="D18" s="35"/>
      <c r="E18" s="35"/>
      <c r="F18" s="35"/>
      <c r="G18" s="35"/>
      <c r="H18" s="35"/>
      <c r="I18" s="35"/>
    </row>
    <row r="19" spans="1:16">
      <c r="A19" s="11"/>
      <c r="B19" s="9"/>
      <c r="P19" s="13"/>
    </row>
    <row r="21" spans="1:16" ht="15.75" customHeight="1">
      <c r="C21" s="12"/>
    </row>
    <row r="22" spans="1:16" ht="15.75" customHeight="1">
      <c r="C22" s="13"/>
      <c r="F22" s="14"/>
    </row>
    <row r="23" spans="1:16" ht="15.75" customHeight="1">
      <c r="C23" s="13"/>
      <c r="G23" s="10"/>
    </row>
    <row r="24" spans="1:16" ht="15.75" customHeight="1">
      <c r="O24" s="22"/>
    </row>
    <row r="25" spans="1:16" ht="15.75" customHeight="1"/>
    <row r="26" spans="1:16" ht="15.75" customHeight="1"/>
    <row r="27" spans="1:16" ht="15.75" customHeight="1"/>
    <row r="28" spans="1:16" ht="15.75" customHeight="1"/>
    <row r="29" spans="1:16" ht="15.75" customHeight="1">
      <c r="P29" s="16"/>
    </row>
    <row r="30" spans="1:16" ht="15.75" customHeight="1"/>
    <row r="31" spans="1:16" ht="15.75" customHeight="1"/>
    <row r="32" spans="1:1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5:F5"/>
    <mergeCell ref="A18:I18"/>
    <mergeCell ref="A1:R3"/>
    <mergeCell ref="A4:R4"/>
    <mergeCell ref="A5:A6"/>
    <mergeCell ref="G5:K5"/>
    <mergeCell ref="L5:P5"/>
    <mergeCell ref="Q5:Q6"/>
    <mergeCell ref="R5:R6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Z1000"/>
  <sheetViews>
    <sheetView workbookViewId="0">
      <selection activeCell="R16" sqref="R7:R16"/>
    </sheetView>
  </sheetViews>
  <sheetFormatPr defaultColWidth="14.42578125" defaultRowHeight="15" customHeight="1"/>
  <cols>
    <col min="1" max="4" width="8.7109375" customWidth="1"/>
    <col min="5" max="5" width="9.85546875" customWidth="1"/>
    <col min="6" max="9" width="8.7109375" customWidth="1"/>
    <col min="10" max="10" width="9.7109375" customWidth="1"/>
    <col min="11" max="14" width="8.7109375" customWidth="1"/>
    <col min="15" max="15" width="10.140625" customWidth="1"/>
    <col min="16" max="16" width="8.7109375" customWidth="1"/>
    <col min="17" max="17" width="11" customWidth="1"/>
    <col min="18" max="26" width="8.7109375" customWidth="1"/>
  </cols>
  <sheetData>
    <row r="1" spans="1:26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</row>
    <row r="2" spans="1:26" ht="15" customHeight="1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</row>
    <row r="3" spans="1:26" ht="42.75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1:26" ht="59.25" customHeight="1">
      <c r="A4" s="39" t="s">
        <v>14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</row>
    <row r="5" spans="1:26" ht="24" customHeight="1">
      <c r="A5" s="41" t="s">
        <v>2</v>
      </c>
      <c r="B5" s="31" t="s">
        <v>3</v>
      </c>
      <c r="C5" s="32"/>
      <c r="D5" s="32"/>
      <c r="E5" s="32"/>
      <c r="F5" s="33"/>
      <c r="G5" s="31" t="s">
        <v>4</v>
      </c>
      <c r="H5" s="32"/>
      <c r="I5" s="32"/>
      <c r="J5" s="32"/>
      <c r="K5" s="33"/>
      <c r="L5" s="31" t="s">
        <v>5</v>
      </c>
      <c r="M5" s="32"/>
      <c r="N5" s="32"/>
      <c r="O5" s="32"/>
      <c r="P5" s="33"/>
      <c r="Q5" s="43" t="s">
        <v>6</v>
      </c>
      <c r="R5" s="45" t="s">
        <v>7</v>
      </c>
      <c r="S5" s="6"/>
      <c r="T5" s="6"/>
      <c r="U5" s="6"/>
      <c r="V5" s="6"/>
      <c r="W5" s="6"/>
      <c r="X5" s="6"/>
      <c r="Y5" s="6"/>
      <c r="Z5" s="6"/>
    </row>
    <row r="6" spans="1:26" ht="33">
      <c r="A6" s="42"/>
      <c r="B6" s="1" t="s">
        <v>8</v>
      </c>
      <c r="C6" s="2" t="s">
        <v>9</v>
      </c>
      <c r="D6" s="2" t="s">
        <v>10</v>
      </c>
      <c r="E6" s="26" t="s">
        <v>11</v>
      </c>
      <c r="F6" s="7" t="s">
        <v>7</v>
      </c>
      <c r="G6" s="1" t="s">
        <v>8</v>
      </c>
      <c r="H6" s="2" t="s">
        <v>9</v>
      </c>
      <c r="I6" s="2" t="s">
        <v>10</v>
      </c>
      <c r="J6" s="2" t="s">
        <v>11</v>
      </c>
      <c r="K6" s="7" t="s">
        <v>7</v>
      </c>
      <c r="L6" s="1" t="s">
        <v>8</v>
      </c>
      <c r="M6" s="2" t="s">
        <v>9</v>
      </c>
      <c r="N6" s="2" t="s">
        <v>10</v>
      </c>
      <c r="O6" s="2" t="s">
        <v>11</v>
      </c>
      <c r="P6" s="7" t="s">
        <v>7</v>
      </c>
      <c r="Q6" s="44"/>
      <c r="R6" s="44"/>
      <c r="S6" s="8"/>
      <c r="T6" s="8"/>
      <c r="U6" s="8"/>
      <c r="V6" s="8"/>
      <c r="W6" s="8"/>
      <c r="X6" s="8"/>
      <c r="Y6" s="8"/>
      <c r="Z6" s="8"/>
    </row>
    <row r="7" spans="1:26" ht="19.5" customHeight="1">
      <c r="A7" s="5">
        <v>62</v>
      </c>
      <c r="B7" s="27"/>
      <c r="C7" s="23"/>
      <c r="D7" s="28">
        <f t="shared" ref="D7:D16" si="0">MIN(B7,C7)</f>
        <v>0</v>
      </c>
      <c r="E7" s="29">
        <f>TimeToSeconds(I7)</f>
        <v>0</v>
      </c>
      <c r="F7" s="51">
        <f>RANK(E7,E:E,1)</f>
        <v>1</v>
      </c>
      <c r="G7" s="23"/>
      <c r="H7" s="23"/>
      <c r="I7" s="23">
        <f>MIN(G7,H7)</f>
        <v>0</v>
      </c>
      <c r="J7" s="30">
        <f>TimeToSeconds(I7)</f>
        <v>0</v>
      </c>
      <c r="K7" s="47">
        <f>RANK(J7,J:J,1)</f>
        <v>1</v>
      </c>
      <c r="L7" s="23"/>
      <c r="M7" s="23"/>
      <c r="N7" s="23">
        <f>MIN(L7,M7)</f>
        <v>0</v>
      </c>
      <c r="O7" s="30">
        <f>TimeToSeconds(N7)</f>
        <v>0</v>
      </c>
      <c r="P7" s="47">
        <f>RANK(O7,O:O,1)</f>
        <v>1</v>
      </c>
      <c r="Q7" s="30">
        <f>E7+J7+O7</f>
        <v>0</v>
      </c>
      <c r="R7" s="47">
        <f>RANK(Q7,Q:Q,1)</f>
        <v>1</v>
      </c>
    </row>
    <row r="8" spans="1:26" ht="19.5" customHeight="1">
      <c r="A8" s="5">
        <v>26</v>
      </c>
      <c r="B8" s="27"/>
      <c r="C8" s="23"/>
      <c r="D8" s="28">
        <f t="shared" si="0"/>
        <v>0</v>
      </c>
      <c r="E8" s="29">
        <f t="shared" ref="E8:E16" si="1">TimeToSeconds(D8)</f>
        <v>0</v>
      </c>
      <c r="F8" s="51">
        <f t="shared" ref="F8:F16" si="2">RANK(E8,E:E,1)</f>
        <v>1</v>
      </c>
      <c r="G8" s="23"/>
      <c r="H8" s="23"/>
      <c r="I8" s="23">
        <f t="shared" ref="I8:I16" si="3">MIN(G8,H8)</f>
        <v>0</v>
      </c>
      <c r="J8" s="30">
        <f t="shared" ref="J8:J16" si="4">TimeToSeconds(I8)</f>
        <v>0</v>
      </c>
      <c r="K8" s="47">
        <f t="shared" ref="K8:K16" si="5">RANK(J8,J:J,1)</f>
        <v>1</v>
      </c>
      <c r="L8" s="23"/>
      <c r="M8" s="23"/>
      <c r="N8" s="23">
        <f t="shared" ref="N8:N16" si="6">MIN(L8,M8)</f>
        <v>0</v>
      </c>
      <c r="O8" s="30">
        <f t="shared" ref="O8:O16" si="7">TimeToSeconds(N8)</f>
        <v>0</v>
      </c>
      <c r="P8" s="47">
        <f t="shared" ref="P8:P16" si="8">RANK(O8,O:O,1)</f>
        <v>1</v>
      </c>
      <c r="Q8" s="30">
        <f t="shared" ref="Q8:Q16" si="9">E8+J8+O8</f>
        <v>0</v>
      </c>
      <c r="R8" s="47">
        <f t="shared" ref="R8:R16" si="10">RANK(Q8,Q:Q,1)</f>
        <v>1</v>
      </c>
    </row>
    <row r="9" spans="1:26" ht="19.5" customHeight="1">
      <c r="A9" s="5">
        <v>18</v>
      </c>
      <c r="B9" s="27"/>
      <c r="C9" s="23"/>
      <c r="D9" s="28">
        <f t="shared" si="0"/>
        <v>0</v>
      </c>
      <c r="E9" s="29">
        <f t="shared" si="1"/>
        <v>0</v>
      </c>
      <c r="F9" s="51">
        <f t="shared" si="2"/>
        <v>1</v>
      </c>
      <c r="G9" s="23"/>
      <c r="H9" s="23"/>
      <c r="I9" s="23">
        <f t="shared" si="3"/>
        <v>0</v>
      </c>
      <c r="J9" s="30">
        <f t="shared" si="4"/>
        <v>0</v>
      </c>
      <c r="K9" s="47">
        <f t="shared" si="5"/>
        <v>1</v>
      </c>
      <c r="L9" s="23"/>
      <c r="M9" s="23"/>
      <c r="N9" s="23">
        <f t="shared" si="6"/>
        <v>0</v>
      </c>
      <c r="O9" s="30">
        <f t="shared" si="7"/>
        <v>0</v>
      </c>
      <c r="P9" s="47">
        <f t="shared" si="8"/>
        <v>1</v>
      </c>
      <c r="Q9" s="30">
        <f t="shared" si="9"/>
        <v>0</v>
      </c>
      <c r="R9" s="47">
        <f t="shared" si="10"/>
        <v>1</v>
      </c>
    </row>
    <row r="10" spans="1:26" ht="19.5" customHeight="1">
      <c r="A10" s="4">
        <v>22</v>
      </c>
      <c r="B10" s="27"/>
      <c r="C10" s="23"/>
      <c r="D10" s="28">
        <f t="shared" si="0"/>
        <v>0</v>
      </c>
      <c r="E10" s="29">
        <f t="shared" si="1"/>
        <v>0</v>
      </c>
      <c r="F10" s="51">
        <f t="shared" si="2"/>
        <v>1</v>
      </c>
      <c r="G10" s="23"/>
      <c r="H10" s="23"/>
      <c r="I10" s="23">
        <f t="shared" si="3"/>
        <v>0</v>
      </c>
      <c r="J10" s="30">
        <f t="shared" si="4"/>
        <v>0</v>
      </c>
      <c r="K10" s="47">
        <f t="shared" si="5"/>
        <v>1</v>
      </c>
      <c r="L10" s="23"/>
      <c r="M10" s="23"/>
      <c r="N10" s="23">
        <f t="shared" si="6"/>
        <v>0</v>
      </c>
      <c r="O10" s="30">
        <f t="shared" si="7"/>
        <v>0</v>
      </c>
      <c r="P10" s="47">
        <f t="shared" si="8"/>
        <v>1</v>
      </c>
      <c r="Q10" s="30">
        <f t="shared" si="9"/>
        <v>0</v>
      </c>
      <c r="R10" s="47">
        <f t="shared" si="10"/>
        <v>1</v>
      </c>
    </row>
    <row r="11" spans="1:26" ht="19.5" customHeight="1">
      <c r="A11" s="4">
        <v>7</v>
      </c>
      <c r="B11" s="27"/>
      <c r="C11" s="23"/>
      <c r="D11" s="28">
        <f t="shared" si="0"/>
        <v>0</v>
      </c>
      <c r="E11" s="29">
        <f t="shared" si="1"/>
        <v>0</v>
      </c>
      <c r="F11" s="51">
        <f t="shared" si="2"/>
        <v>1</v>
      </c>
      <c r="G11" s="23"/>
      <c r="H11" s="23"/>
      <c r="I11" s="23">
        <f t="shared" si="3"/>
        <v>0</v>
      </c>
      <c r="J11" s="30">
        <f t="shared" si="4"/>
        <v>0</v>
      </c>
      <c r="K11" s="47">
        <f t="shared" si="5"/>
        <v>1</v>
      </c>
      <c r="L11" s="23"/>
      <c r="M11" s="23"/>
      <c r="N11" s="23">
        <f t="shared" si="6"/>
        <v>0</v>
      </c>
      <c r="O11" s="30">
        <f t="shared" si="7"/>
        <v>0</v>
      </c>
      <c r="P11" s="47">
        <f t="shared" si="8"/>
        <v>1</v>
      </c>
      <c r="Q11" s="30">
        <f t="shared" si="9"/>
        <v>0</v>
      </c>
      <c r="R11" s="47">
        <f t="shared" si="10"/>
        <v>1</v>
      </c>
    </row>
    <row r="12" spans="1:26" ht="19.5" customHeight="1">
      <c r="A12" s="4">
        <v>69</v>
      </c>
      <c r="B12" s="27"/>
      <c r="C12" s="23"/>
      <c r="D12" s="28">
        <f t="shared" si="0"/>
        <v>0</v>
      </c>
      <c r="E12" s="29">
        <f t="shared" si="1"/>
        <v>0</v>
      </c>
      <c r="F12" s="51">
        <f t="shared" si="2"/>
        <v>1</v>
      </c>
      <c r="G12" s="23"/>
      <c r="H12" s="23"/>
      <c r="I12" s="23">
        <f t="shared" si="3"/>
        <v>0</v>
      </c>
      <c r="J12" s="30">
        <f t="shared" si="4"/>
        <v>0</v>
      </c>
      <c r="K12" s="47">
        <f t="shared" si="5"/>
        <v>1</v>
      </c>
      <c r="L12" s="23"/>
      <c r="M12" s="23"/>
      <c r="N12" s="23">
        <f t="shared" si="6"/>
        <v>0</v>
      </c>
      <c r="O12" s="30">
        <f t="shared" si="7"/>
        <v>0</v>
      </c>
      <c r="P12" s="47">
        <f t="shared" si="8"/>
        <v>1</v>
      </c>
      <c r="Q12" s="30">
        <f t="shared" si="9"/>
        <v>0</v>
      </c>
      <c r="R12" s="47">
        <f t="shared" si="10"/>
        <v>1</v>
      </c>
    </row>
    <row r="13" spans="1:26" ht="19.5" customHeight="1">
      <c r="A13" s="4">
        <v>99</v>
      </c>
      <c r="B13" s="27"/>
      <c r="C13" s="23"/>
      <c r="D13" s="28">
        <f t="shared" si="0"/>
        <v>0</v>
      </c>
      <c r="E13" s="29">
        <f t="shared" si="1"/>
        <v>0</v>
      </c>
      <c r="F13" s="51">
        <f t="shared" si="2"/>
        <v>1</v>
      </c>
      <c r="G13" s="23"/>
      <c r="H13" s="23"/>
      <c r="I13" s="23">
        <f t="shared" si="3"/>
        <v>0</v>
      </c>
      <c r="J13" s="30">
        <f t="shared" si="4"/>
        <v>0</v>
      </c>
      <c r="K13" s="47">
        <f t="shared" si="5"/>
        <v>1</v>
      </c>
      <c r="L13" s="23"/>
      <c r="M13" s="23"/>
      <c r="N13" s="23">
        <f t="shared" si="6"/>
        <v>0</v>
      </c>
      <c r="O13" s="30">
        <f t="shared" si="7"/>
        <v>0</v>
      </c>
      <c r="P13" s="47">
        <f t="shared" si="8"/>
        <v>1</v>
      </c>
      <c r="Q13" s="30">
        <f t="shared" si="9"/>
        <v>0</v>
      </c>
      <c r="R13" s="47">
        <f t="shared" si="10"/>
        <v>1</v>
      </c>
    </row>
    <row r="14" spans="1:26" ht="19.5" customHeight="1">
      <c r="A14" s="4">
        <v>11</v>
      </c>
      <c r="B14" s="27"/>
      <c r="C14" s="23"/>
      <c r="D14" s="28">
        <f t="shared" si="0"/>
        <v>0</v>
      </c>
      <c r="E14" s="29">
        <f t="shared" si="1"/>
        <v>0</v>
      </c>
      <c r="F14" s="51">
        <f t="shared" si="2"/>
        <v>1</v>
      </c>
      <c r="G14" s="23"/>
      <c r="H14" s="23"/>
      <c r="I14" s="23">
        <f t="shared" si="3"/>
        <v>0</v>
      </c>
      <c r="J14" s="30">
        <f t="shared" si="4"/>
        <v>0</v>
      </c>
      <c r="K14" s="47">
        <f t="shared" si="5"/>
        <v>1</v>
      </c>
      <c r="L14" s="23"/>
      <c r="M14" s="23"/>
      <c r="N14" s="23">
        <f t="shared" si="6"/>
        <v>0</v>
      </c>
      <c r="O14" s="30">
        <f t="shared" si="7"/>
        <v>0</v>
      </c>
      <c r="P14" s="47">
        <f t="shared" si="8"/>
        <v>1</v>
      </c>
      <c r="Q14" s="30">
        <f t="shared" si="9"/>
        <v>0</v>
      </c>
      <c r="R14" s="47">
        <f t="shared" si="10"/>
        <v>1</v>
      </c>
    </row>
    <row r="15" spans="1:26" ht="19.5" customHeight="1">
      <c r="A15" s="4">
        <v>17</v>
      </c>
      <c r="B15" s="27"/>
      <c r="C15" s="23"/>
      <c r="D15" s="28">
        <f t="shared" si="0"/>
        <v>0</v>
      </c>
      <c r="E15" s="29">
        <f t="shared" si="1"/>
        <v>0</v>
      </c>
      <c r="F15" s="51">
        <f t="shared" si="2"/>
        <v>1</v>
      </c>
      <c r="G15" s="23"/>
      <c r="H15" s="23"/>
      <c r="I15" s="23">
        <f t="shared" si="3"/>
        <v>0</v>
      </c>
      <c r="J15" s="30">
        <f t="shared" si="4"/>
        <v>0</v>
      </c>
      <c r="K15" s="47">
        <f t="shared" si="5"/>
        <v>1</v>
      </c>
      <c r="L15" s="23"/>
      <c r="M15" s="23"/>
      <c r="N15" s="23">
        <f t="shared" si="6"/>
        <v>0</v>
      </c>
      <c r="O15" s="30">
        <f t="shared" si="7"/>
        <v>0</v>
      </c>
      <c r="P15" s="47">
        <f t="shared" si="8"/>
        <v>1</v>
      </c>
      <c r="Q15" s="30">
        <f t="shared" si="9"/>
        <v>0</v>
      </c>
      <c r="R15" s="47">
        <f t="shared" si="10"/>
        <v>1</v>
      </c>
    </row>
    <row r="16" spans="1:26" ht="19.5" customHeight="1">
      <c r="A16" s="4">
        <v>16</v>
      </c>
      <c r="B16" s="27"/>
      <c r="C16" s="23"/>
      <c r="D16" s="28">
        <f t="shared" si="0"/>
        <v>0</v>
      </c>
      <c r="E16" s="29">
        <f t="shared" si="1"/>
        <v>0</v>
      </c>
      <c r="F16" s="51">
        <f t="shared" si="2"/>
        <v>1</v>
      </c>
      <c r="G16" s="23"/>
      <c r="H16" s="23"/>
      <c r="I16" s="23">
        <f t="shared" si="3"/>
        <v>0</v>
      </c>
      <c r="J16" s="30">
        <f t="shared" si="4"/>
        <v>0</v>
      </c>
      <c r="K16" s="47">
        <f t="shared" si="5"/>
        <v>1</v>
      </c>
      <c r="L16" s="23"/>
      <c r="M16" s="23"/>
      <c r="N16" s="23">
        <f t="shared" si="6"/>
        <v>0</v>
      </c>
      <c r="O16" s="30">
        <f t="shared" si="7"/>
        <v>0</v>
      </c>
      <c r="P16" s="47">
        <f t="shared" si="8"/>
        <v>1</v>
      </c>
      <c r="Q16" s="30">
        <f t="shared" si="9"/>
        <v>0</v>
      </c>
      <c r="R16" s="47">
        <f t="shared" si="10"/>
        <v>1</v>
      </c>
    </row>
    <row r="19" spans="1:9" ht="26.25" customHeight="1">
      <c r="A19" s="46" t="s">
        <v>13</v>
      </c>
      <c r="B19" s="37"/>
      <c r="C19" s="37"/>
      <c r="D19" s="37"/>
      <c r="E19" s="37"/>
      <c r="F19" s="37"/>
      <c r="G19" s="37"/>
      <c r="H19" s="37"/>
      <c r="I19" s="37"/>
    </row>
    <row r="21" spans="1:9" ht="15.75" customHeight="1"/>
    <row r="22" spans="1:9" ht="15.75" customHeight="1"/>
    <row r="23" spans="1:9" ht="15.75" customHeight="1"/>
    <row r="24" spans="1:9" ht="15.75" customHeight="1"/>
    <row r="25" spans="1:9" ht="15.75" customHeight="1"/>
    <row r="26" spans="1:9" ht="15.75" customHeight="1"/>
    <row r="27" spans="1:9" ht="15.75" customHeight="1"/>
    <row r="28" spans="1:9" ht="15.75" customHeight="1"/>
    <row r="29" spans="1:9" ht="15.75" customHeight="1"/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5:F5"/>
    <mergeCell ref="A19:I19"/>
    <mergeCell ref="A1:R3"/>
    <mergeCell ref="A4:R4"/>
    <mergeCell ref="A5:A6"/>
    <mergeCell ref="G5:K5"/>
    <mergeCell ref="L5:P5"/>
    <mergeCell ref="Q5:Q6"/>
    <mergeCell ref="R5:R6"/>
  </mergeCell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000"/>
  <sheetViews>
    <sheetView workbookViewId="0">
      <selection activeCell="M23" sqref="M23"/>
    </sheetView>
  </sheetViews>
  <sheetFormatPr defaultColWidth="14.42578125" defaultRowHeight="15" customHeight="1"/>
  <cols>
    <col min="1" max="4" width="8.7109375" customWidth="1"/>
    <col min="5" max="5" width="9.85546875" customWidth="1"/>
    <col min="6" max="9" width="8.7109375" customWidth="1"/>
    <col min="10" max="10" width="9.7109375" customWidth="1"/>
    <col min="11" max="14" width="8.7109375" customWidth="1"/>
    <col min="15" max="15" width="10.140625" customWidth="1"/>
    <col min="16" max="16" width="8.7109375" customWidth="1"/>
    <col min="17" max="17" width="11" customWidth="1"/>
    <col min="18" max="26" width="8.7109375" customWidth="1"/>
  </cols>
  <sheetData>
    <row r="1" spans="1:26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</row>
    <row r="2" spans="1:26" ht="15" customHeight="1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</row>
    <row r="3" spans="1:26" ht="42.75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</row>
    <row r="4" spans="1:26" ht="59.25" customHeight="1">
      <c r="A4" s="39" t="s">
        <v>15</v>
      </c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</row>
    <row r="5" spans="1:26" ht="24" customHeight="1">
      <c r="A5" s="41" t="s">
        <v>2</v>
      </c>
      <c r="B5" s="31" t="s">
        <v>3</v>
      </c>
      <c r="C5" s="32"/>
      <c r="D5" s="32"/>
      <c r="E5" s="32"/>
      <c r="F5" s="33"/>
      <c r="G5" s="31" t="s">
        <v>4</v>
      </c>
      <c r="H5" s="32"/>
      <c r="I5" s="32"/>
      <c r="J5" s="32"/>
      <c r="K5" s="33"/>
      <c r="L5" s="31" t="s">
        <v>5</v>
      </c>
      <c r="M5" s="32"/>
      <c r="N5" s="32"/>
      <c r="O5" s="32"/>
      <c r="P5" s="33"/>
      <c r="Q5" s="43" t="s">
        <v>6</v>
      </c>
      <c r="R5" s="45" t="s">
        <v>7</v>
      </c>
      <c r="S5" s="6"/>
      <c r="T5" s="6"/>
      <c r="U5" s="6"/>
      <c r="V5" s="6"/>
      <c r="W5" s="6"/>
      <c r="X5" s="6"/>
      <c r="Y5" s="6"/>
      <c r="Z5" s="6"/>
    </row>
    <row r="6" spans="1:26" ht="33">
      <c r="A6" s="42"/>
      <c r="B6" s="1" t="s">
        <v>8</v>
      </c>
      <c r="C6" s="2" t="s">
        <v>9</v>
      </c>
      <c r="D6" s="2" t="s">
        <v>10</v>
      </c>
      <c r="E6" s="2" t="s">
        <v>11</v>
      </c>
      <c r="F6" s="7" t="s">
        <v>7</v>
      </c>
      <c r="G6" s="1" t="s">
        <v>8</v>
      </c>
      <c r="H6" s="2" t="s">
        <v>9</v>
      </c>
      <c r="I6" s="2" t="s">
        <v>10</v>
      </c>
      <c r="J6" s="2" t="s">
        <v>11</v>
      </c>
      <c r="K6" s="7" t="s">
        <v>7</v>
      </c>
      <c r="L6" s="1" t="s">
        <v>8</v>
      </c>
      <c r="M6" s="2" t="s">
        <v>9</v>
      </c>
      <c r="N6" s="2" t="s">
        <v>10</v>
      </c>
      <c r="O6" s="2" t="s">
        <v>11</v>
      </c>
      <c r="P6" s="7" t="s">
        <v>7</v>
      </c>
      <c r="Q6" s="44"/>
      <c r="R6" s="44"/>
      <c r="S6" s="8"/>
      <c r="T6" s="8"/>
      <c r="U6" s="8"/>
      <c r="V6" s="8"/>
      <c r="W6" s="8"/>
      <c r="X6" s="8"/>
      <c r="Y6" s="8"/>
      <c r="Z6" s="8"/>
    </row>
    <row r="7" spans="1:26" ht="19.5" customHeight="1">
      <c r="A7" s="4">
        <v>43</v>
      </c>
      <c r="B7" s="27"/>
      <c r="C7" s="23"/>
      <c r="D7" s="23">
        <f>MIN(B7,C7)</f>
        <v>0</v>
      </c>
      <c r="E7" s="30">
        <f>TimeToSeconds(D7)</f>
        <v>0</v>
      </c>
      <c r="F7" s="48">
        <f>RANK(E7,E:E,1)</f>
        <v>1</v>
      </c>
      <c r="G7" s="23"/>
      <c r="H7" s="23"/>
      <c r="I7" s="23">
        <f>MIN(G7,H7)</f>
        <v>0</v>
      </c>
      <c r="J7" s="30">
        <f>TimeToSeconds(I7)</f>
        <v>0</v>
      </c>
      <c r="K7" s="48">
        <f>RANK(J7,J:J,1)</f>
        <v>1</v>
      </c>
      <c r="L7" s="23"/>
      <c r="M7" s="23"/>
      <c r="N7" s="23">
        <f>MIN(L7,M7)</f>
        <v>0</v>
      </c>
      <c r="O7" s="30">
        <f>TimeToSeconds(N7)</f>
        <v>0</v>
      </c>
      <c r="P7" s="48">
        <f>RANK(O7,O:O,1)</f>
        <v>1</v>
      </c>
      <c r="Q7" s="30">
        <f>E7+J7+O7</f>
        <v>0</v>
      </c>
      <c r="R7" s="48">
        <f>RANK(Q7,Q:Q,1)</f>
        <v>1</v>
      </c>
    </row>
    <row r="8" spans="1:26" ht="19.5" customHeight="1">
      <c r="A8" s="4">
        <v>38</v>
      </c>
      <c r="B8" s="27"/>
      <c r="C8" s="23"/>
      <c r="D8" s="23">
        <f t="shared" ref="D8:D13" si="0">MIN(B8,C8)</f>
        <v>0</v>
      </c>
      <c r="E8" s="30">
        <f t="shared" ref="E8:E13" si="1">TimeToSeconds(D8)</f>
        <v>0</v>
      </c>
      <c r="F8" s="48">
        <f t="shared" ref="F8:F13" si="2">RANK(E8,E:E,1)</f>
        <v>1</v>
      </c>
      <c r="G8" s="23"/>
      <c r="H8" s="23"/>
      <c r="I8" s="23">
        <f t="shared" ref="I8:I13" si="3">MIN(G8,H8)</f>
        <v>0</v>
      </c>
      <c r="J8" s="30">
        <f t="shared" ref="J8:J13" si="4">TimeToSeconds(I8)</f>
        <v>0</v>
      </c>
      <c r="K8" s="48">
        <f t="shared" ref="K8:K13" si="5">RANK(J8,J:J,1)</f>
        <v>1</v>
      </c>
      <c r="L8" s="23"/>
      <c r="M8" s="23"/>
      <c r="N8" s="23">
        <f t="shared" ref="N8:N13" si="6">MIN(L8,M8)</f>
        <v>0</v>
      </c>
      <c r="O8" s="30">
        <f t="shared" ref="O8:O13" si="7">TimeToSeconds(N8)</f>
        <v>0</v>
      </c>
      <c r="P8" s="48">
        <f t="shared" ref="P8:P13" si="8">RANK(O8,O:O,1)</f>
        <v>1</v>
      </c>
      <c r="Q8" s="30">
        <f t="shared" ref="Q8:Q13" si="9">E8+J8+O8</f>
        <v>0</v>
      </c>
      <c r="R8" s="48">
        <f t="shared" ref="R8:R13" si="10">RANK(Q8,Q:Q,1)</f>
        <v>1</v>
      </c>
    </row>
    <row r="9" spans="1:26" ht="19.5" customHeight="1">
      <c r="A9" s="4">
        <v>88</v>
      </c>
      <c r="B9" s="27"/>
      <c r="C9" s="23"/>
      <c r="D9" s="23">
        <f t="shared" si="0"/>
        <v>0</v>
      </c>
      <c r="E9" s="30">
        <f t="shared" si="1"/>
        <v>0</v>
      </c>
      <c r="F9" s="48">
        <f t="shared" si="2"/>
        <v>1</v>
      </c>
      <c r="G9" s="23"/>
      <c r="H9" s="23"/>
      <c r="I9" s="23">
        <f t="shared" si="3"/>
        <v>0</v>
      </c>
      <c r="J9" s="30">
        <f t="shared" si="4"/>
        <v>0</v>
      </c>
      <c r="K9" s="48">
        <f t="shared" si="5"/>
        <v>1</v>
      </c>
      <c r="L9" s="23"/>
      <c r="M9" s="23"/>
      <c r="N9" s="23">
        <f t="shared" si="6"/>
        <v>0</v>
      </c>
      <c r="O9" s="30">
        <f t="shared" si="7"/>
        <v>0</v>
      </c>
      <c r="P9" s="48">
        <f t="shared" si="8"/>
        <v>1</v>
      </c>
      <c r="Q9" s="30">
        <f t="shared" si="9"/>
        <v>0</v>
      </c>
      <c r="R9" s="48">
        <f t="shared" si="10"/>
        <v>1</v>
      </c>
    </row>
    <row r="10" spans="1:26" ht="19.5" customHeight="1">
      <c r="A10" s="4">
        <v>21</v>
      </c>
      <c r="B10" s="27"/>
      <c r="C10" s="23"/>
      <c r="D10" s="23">
        <f t="shared" si="0"/>
        <v>0</v>
      </c>
      <c r="E10" s="30">
        <f t="shared" si="1"/>
        <v>0</v>
      </c>
      <c r="F10" s="48">
        <f t="shared" si="2"/>
        <v>1</v>
      </c>
      <c r="G10" s="23"/>
      <c r="H10" s="23"/>
      <c r="I10" s="23">
        <f t="shared" si="3"/>
        <v>0</v>
      </c>
      <c r="J10" s="30">
        <f t="shared" si="4"/>
        <v>0</v>
      </c>
      <c r="K10" s="48">
        <f t="shared" si="5"/>
        <v>1</v>
      </c>
      <c r="L10" s="23"/>
      <c r="M10" s="23"/>
      <c r="N10" s="23">
        <f t="shared" si="6"/>
        <v>0</v>
      </c>
      <c r="O10" s="30">
        <f t="shared" si="7"/>
        <v>0</v>
      </c>
      <c r="P10" s="48">
        <f t="shared" si="8"/>
        <v>1</v>
      </c>
      <c r="Q10" s="30">
        <f t="shared" si="9"/>
        <v>0</v>
      </c>
      <c r="R10" s="48">
        <f t="shared" si="10"/>
        <v>1</v>
      </c>
    </row>
    <row r="11" spans="1:26" ht="19.5" customHeight="1">
      <c r="A11" s="4">
        <v>12</v>
      </c>
      <c r="B11" s="27"/>
      <c r="C11" s="23"/>
      <c r="D11" s="23">
        <f t="shared" si="0"/>
        <v>0</v>
      </c>
      <c r="E11" s="30">
        <f t="shared" si="1"/>
        <v>0</v>
      </c>
      <c r="F11" s="48">
        <f t="shared" si="2"/>
        <v>1</v>
      </c>
      <c r="G11" s="23"/>
      <c r="H11" s="23"/>
      <c r="I11" s="23">
        <f t="shared" si="3"/>
        <v>0</v>
      </c>
      <c r="J11" s="30">
        <f t="shared" si="4"/>
        <v>0</v>
      </c>
      <c r="K11" s="48">
        <f t="shared" si="5"/>
        <v>1</v>
      </c>
      <c r="L11" s="23"/>
      <c r="M11" s="23"/>
      <c r="N11" s="23">
        <f t="shared" si="6"/>
        <v>0</v>
      </c>
      <c r="O11" s="30">
        <f t="shared" si="7"/>
        <v>0</v>
      </c>
      <c r="P11" s="48">
        <f t="shared" si="8"/>
        <v>1</v>
      </c>
      <c r="Q11" s="30">
        <f t="shared" si="9"/>
        <v>0</v>
      </c>
      <c r="R11" s="48">
        <f t="shared" si="10"/>
        <v>1</v>
      </c>
    </row>
    <row r="12" spans="1:26" ht="19.5" customHeight="1">
      <c r="A12" s="4">
        <v>205</v>
      </c>
      <c r="B12" s="27"/>
      <c r="C12" s="23"/>
      <c r="D12" s="23">
        <f t="shared" si="0"/>
        <v>0</v>
      </c>
      <c r="E12" s="30">
        <f t="shared" si="1"/>
        <v>0</v>
      </c>
      <c r="F12" s="48">
        <f t="shared" si="2"/>
        <v>1</v>
      </c>
      <c r="G12" s="23"/>
      <c r="H12" s="23"/>
      <c r="I12" s="23">
        <f t="shared" si="3"/>
        <v>0</v>
      </c>
      <c r="J12" s="30">
        <f t="shared" si="4"/>
        <v>0</v>
      </c>
      <c r="K12" s="48">
        <f t="shared" si="5"/>
        <v>1</v>
      </c>
      <c r="L12" s="23"/>
      <c r="M12" s="23"/>
      <c r="N12" s="23">
        <f t="shared" si="6"/>
        <v>0</v>
      </c>
      <c r="O12" s="30">
        <f t="shared" si="7"/>
        <v>0</v>
      </c>
      <c r="P12" s="48">
        <f t="shared" si="8"/>
        <v>1</v>
      </c>
      <c r="Q12" s="30">
        <f t="shared" si="9"/>
        <v>0</v>
      </c>
      <c r="R12" s="48">
        <f t="shared" si="10"/>
        <v>1</v>
      </c>
    </row>
    <row r="13" spans="1:26" ht="19.5" customHeight="1">
      <c r="A13" s="4">
        <v>555</v>
      </c>
      <c r="B13" s="27"/>
      <c r="C13" s="23"/>
      <c r="D13" s="23">
        <f t="shared" si="0"/>
        <v>0</v>
      </c>
      <c r="E13" s="30">
        <f t="shared" si="1"/>
        <v>0</v>
      </c>
      <c r="F13" s="48">
        <f t="shared" si="2"/>
        <v>1</v>
      </c>
      <c r="G13" s="23"/>
      <c r="H13" s="23"/>
      <c r="I13" s="23">
        <f t="shared" si="3"/>
        <v>0</v>
      </c>
      <c r="J13" s="30">
        <f t="shared" si="4"/>
        <v>0</v>
      </c>
      <c r="K13" s="48">
        <f t="shared" si="5"/>
        <v>1</v>
      </c>
      <c r="L13" s="23"/>
      <c r="M13" s="23"/>
      <c r="N13" s="23">
        <f t="shared" si="6"/>
        <v>0</v>
      </c>
      <c r="O13" s="30">
        <f t="shared" si="7"/>
        <v>0</v>
      </c>
      <c r="P13" s="48">
        <f t="shared" si="8"/>
        <v>1</v>
      </c>
      <c r="Q13" s="30">
        <f t="shared" si="9"/>
        <v>0</v>
      </c>
      <c r="R13" s="48">
        <f t="shared" si="10"/>
        <v>1</v>
      </c>
    </row>
    <row r="16" spans="1:26" ht="26.25" customHeight="1">
      <c r="A16" s="46" t="s">
        <v>13</v>
      </c>
      <c r="B16" s="37"/>
      <c r="C16" s="37"/>
      <c r="D16" s="37"/>
      <c r="E16" s="37"/>
      <c r="F16" s="37"/>
      <c r="G16" s="37"/>
      <c r="H16" s="37"/>
      <c r="I16" s="3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5:F5"/>
    <mergeCell ref="A16:I16"/>
    <mergeCell ref="A1:R3"/>
    <mergeCell ref="A4:R4"/>
    <mergeCell ref="A5:A6"/>
    <mergeCell ref="G5:K5"/>
    <mergeCell ref="L5:P5"/>
    <mergeCell ref="Q5:Q6"/>
    <mergeCell ref="R5:R6"/>
  </mergeCell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1400</vt:lpstr>
      <vt:lpstr>1600</vt:lpstr>
      <vt:lpstr>2000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Шестаков Максим</dc:creator>
  <cp:lastModifiedBy>Шестаков Максим</cp:lastModifiedBy>
  <dcterms:created xsi:type="dcterms:W3CDTF">2024-10-16T07:58:03Z</dcterms:created>
  <dcterms:modified xsi:type="dcterms:W3CDTF">2024-10-18T07:01:51Z</dcterms:modified>
</cp:coreProperties>
</file>